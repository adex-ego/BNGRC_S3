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Recap"/>
    <sheet r:id="rId2" sheetId="2" name="liste des taches"/>
    <sheet r:id="rId3" sheetId="3" name="avancement projet"/>
    <sheet r:id="rId4" sheetId="4" name="Feuil4"/>
  </sheets>
  <calcPr fullCalcOnLoad="1"/>
</workbook>
</file>

<file path=xl/sharedStrings.xml><?xml version="1.0" encoding="utf-8"?>
<sst xmlns="http://schemas.openxmlformats.org/spreadsheetml/2006/main" count="207" uniqueCount="91">
  <si>
    <t>estimation total</t>
  </si>
  <si>
    <t>temps passé total</t>
  </si>
  <si>
    <t>reste à faire total</t>
  </si>
  <si>
    <t>avancement</t>
  </si>
  <si>
    <t>dépassement</t>
  </si>
  <si>
    <t>heure</t>
  </si>
  <si>
    <t>Module</t>
  </si>
  <si>
    <t>Nom page</t>
  </si>
  <si>
    <t>Description</t>
  </si>
  <si>
    <t>Type</t>
  </si>
  <si>
    <t>Estimation</t>
  </si>
  <si>
    <t>Temps passé</t>
  </si>
  <si>
    <t>Reste à faire</t>
  </si>
  <si>
    <t>Avancement</t>
  </si>
  <si>
    <t>Qui</t>
  </si>
  <si>
    <t>Status</t>
  </si>
  <si>
    <t xml:space="preserve">base </t>
  </si>
  <si>
    <t>creation de la base</t>
  </si>
  <si>
    <t>Base données</t>
  </si>
  <si>
    <t>Jo</t>
  </si>
  <si>
    <t>OK</t>
  </si>
  <si>
    <t>table</t>
  </si>
  <si>
    <t>besoin_type</t>
  </si>
  <si>
    <t>base</t>
  </si>
  <si>
    <t>besoin_bngrc</t>
  </si>
  <si>
    <t>region_bngrc</t>
  </si>
  <si>
    <t>ville_bngrc</t>
  </si>
  <si>
    <t>besoin_ville</t>
  </si>
  <si>
    <t>dons_bngrc</t>
  </si>
  <si>
    <t>dashboard</t>
  </si>
  <si>
    <t>home.php</t>
  </si>
  <si>
    <t>affichage ville</t>
  </si>
  <si>
    <t>affichage</t>
  </si>
  <si>
    <t>Harena</t>
  </si>
  <si>
    <t>WIP</t>
  </si>
  <si>
    <t>route</t>
  </si>
  <si>
    <t>redirection vers home</t>
  </si>
  <si>
    <t>redirection/lien</t>
  </si>
  <si>
    <t>Model 1</t>
  </si>
  <si>
    <t>VilleModel</t>
  </si>
  <si>
    <t>Function getville</t>
  </si>
  <si>
    <t>function</t>
  </si>
  <si>
    <t>Fifa</t>
  </si>
  <si>
    <t>Function findbyname</t>
  </si>
  <si>
    <t>function findbyid</t>
  </si>
  <si>
    <t>Model 2</t>
  </si>
  <si>
    <t>RegionModel</t>
  </si>
  <si>
    <t>Function getregion</t>
  </si>
  <si>
    <t>Function  findbyname</t>
  </si>
  <si>
    <t>Model 3</t>
  </si>
  <si>
    <t>BesoinModel</t>
  </si>
  <si>
    <t>Function getBesoin</t>
  </si>
  <si>
    <t>function  findbytype</t>
  </si>
  <si>
    <t>function  insertBesoin</t>
  </si>
  <si>
    <t>Controller 1</t>
  </si>
  <si>
    <t>VilleController</t>
  </si>
  <si>
    <t>appel des functions dans model</t>
  </si>
  <si>
    <t>controller</t>
  </si>
  <si>
    <t xml:space="preserve">Controller 2 </t>
  </si>
  <si>
    <t>RegionController</t>
  </si>
  <si>
    <t xml:space="preserve">Controller 3 </t>
  </si>
  <si>
    <t>BesoinController</t>
  </si>
  <si>
    <t>routes</t>
  </si>
  <si>
    <t>redirection de tous a partir des controller</t>
  </si>
  <si>
    <t>integration</t>
  </si>
  <si>
    <t>liste des villes + besoins + dons</t>
  </si>
  <si>
    <t>filtre par region</t>
  </si>
  <si>
    <t>filtre</t>
  </si>
  <si>
    <t>recherche par ville</t>
  </si>
  <si>
    <t>recherche</t>
  </si>
  <si>
    <t>design</t>
  </si>
  <si>
    <t>bootstrap integre + design soigner</t>
  </si>
  <si>
    <t>formulaire</t>
  </si>
  <si>
    <t>saisiDon.php</t>
  </si>
  <si>
    <t>saisi des dons</t>
  </si>
  <si>
    <t>form</t>
  </si>
  <si>
    <t>saisiBesoin.php</t>
  </si>
  <si>
    <t>saisi des besoins</t>
  </si>
  <si>
    <t>Model 4</t>
  </si>
  <si>
    <t>DonModel</t>
  </si>
  <si>
    <t>Function insertDon</t>
  </si>
  <si>
    <t>Function getDon</t>
  </si>
  <si>
    <t>function getbyid</t>
  </si>
  <si>
    <t>Controller 4</t>
  </si>
  <si>
    <t>DonController</t>
  </si>
  <si>
    <t>redirection a partir du controller</t>
  </si>
  <si>
    <t>saisi.php</t>
  </si>
  <si>
    <t>faire marcher les formulaire</t>
  </si>
  <si>
    <t>Somme de Estimation</t>
  </si>
  <si>
    <t>(vide)</t>
  </si>
  <si>
    <t>Total Résultat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</si>
</sst>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.00%"/>
    <numFmt numFmtId="165" formatCode="#,##0%"/>
  </numFmts>
  <fonts count="3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6dcf8"/>
      </patternFill>
    </fill>
  </fills>
  <borders count="1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4">
    <xf xfId="0" numFmtId="0" borderId="0" fontId="0" fillId="0"/>
    <xf xfId="0" numFmtId="3" applyNumberFormat="1" borderId="1" applyBorder="1" fontId="1" applyFont="1" fillId="2" applyFill="1" applyAlignment="1">
      <alignment horizontal="left"/>
    </xf>
    <xf xfId="0" numFmtId="4" applyNumberFormat="1" borderId="1" applyBorder="1" fontId="1" applyFont="1" fillId="2" applyFill="1" applyAlignment="1">
      <alignment horizontal="left"/>
    </xf>
    <xf xfId="0" numFmtId="164" applyNumberFormat="1" borderId="1" applyBorder="1" fontId="1" applyFont="1" fillId="2" applyFill="1" applyAlignment="1">
      <alignment horizontal="left"/>
    </xf>
    <xf xfId="0" numFmtId="165" applyNumberFormat="1" borderId="1" applyBorder="1" fontId="1" applyFont="1" fillId="2" applyFill="1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164" applyNumberFormat="1" borderId="2" applyBorder="1" fontId="2" applyFont="1" fillId="0" applyAlignment="1">
      <alignment horizontal="right"/>
    </xf>
    <xf xfId="0" numFmtId="165" applyNumberFormat="1" borderId="2" applyBorder="1" fontId="2" applyFont="1" fillId="0" applyAlignment="1">
      <alignment horizontal="right"/>
    </xf>
    <xf xfId="0" numFmtId="3" applyNumberFormat="1" borderId="0" fontId="0" fillId="0" applyAlignment="1">
      <alignment horizontal="general"/>
    </xf>
    <xf xfId="0" numFmtId="4" applyNumberFormat="1" borderId="2" applyBorder="1" fontId="2" applyFont="1" fillId="0" applyAlignment="1">
      <alignment horizontal="right"/>
    </xf>
    <xf xfId="0" numFmtId="164" applyNumberFormat="1" borderId="2" applyBorder="1" fontId="2" applyFont="1" fillId="0" applyAlignment="1">
      <alignment horizontal="left"/>
    </xf>
    <xf xfId="0" numFmtId="165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164" applyNumberFormat="1" borderId="0" fontId="0" fillId="0" applyAlignment="1">
      <alignment horizontal="general"/>
    </xf>
    <xf xfId="0" numFmtId="165" applyNumberFormat="1" borderId="0" fontId="0" fillId="0" applyAlignment="1">
      <alignment horizontal="general"/>
    </xf>
    <xf xfId="0" numFmtId="0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164" applyNumberFormat="1" borderId="0" fontId="0" fillId="0" applyAlignment="1">
      <alignment horizontal="righ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3" applyBorder="1" fontId="2" applyFont="1" fillId="0" applyAlignment="1">
      <alignment horizontal="left"/>
    </xf>
    <xf xfId="0" numFmtId="3" applyNumberFormat="1" borderId="4" applyBorder="1" fontId="2" applyFont="1" fillId="0" applyAlignment="1">
      <alignment horizontal="left"/>
    </xf>
    <xf xfId="0" numFmtId="0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0" applyAlignment="1">
      <alignment horizontal="left"/>
    </xf>
    <xf xfId="0" numFmtId="3" applyNumberFormat="1" borderId="8" applyBorder="1" fontId="2" applyFont="1" fillId="0" applyAlignment="1">
      <alignment horizontal="right"/>
    </xf>
    <xf xfId="0" numFmtId="3" applyNumberFormat="1" borderId="9" applyBorder="1" fontId="2" applyFont="1" fillId="0" applyAlignment="1">
      <alignment horizontal="right"/>
    </xf>
    <xf xfId="0" numFmtId="0" borderId="10" applyBorder="1" fontId="1" applyFont="1" fillId="0" applyAlignment="1">
      <alignment horizontal="left"/>
    </xf>
    <xf xfId="0" numFmtId="3" applyNumberFormat="1" borderId="11" applyBorder="1" fontId="1" applyFont="1" fillId="0" applyAlignment="1">
      <alignment horizontal="right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sharedStrings.xml" Type="http://schemas.openxmlformats.org/officeDocument/2006/relationships/sharedStrings" Id="rId5"/><Relationship Target="styles.xml" Type="http://schemas.openxmlformats.org/officeDocument/2006/relationships/styles" Id="rId6"/><Relationship Target="theme/theme1.xml" Type="http://schemas.openxmlformats.org/officeDocument/2006/relationships/theme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8"/>
  <sheetViews>
    <sheetView workbookViewId="0"/>
  </sheetViews>
  <sheetFormatPr defaultRowHeight="15" x14ac:dyDescent="0.25"/>
  <cols>
    <col min="1" max="1" style="33" width="20.005" customWidth="1" bestFit="1"/>
    <col min="2" max="2" style="20" width="19.576428571428572" customWidth="1" bestFit="1"/>
  </cols>
  <sheetData>
    <row x14ac:dyDescent="0.25" r="1" customHeight="1" ht="17.25">
      <c r="A1" s="22"/>
      <c r="B1" s="23"/>
    </row>
    <row x14ac:dyDescent="0.25" r="2" customHeight="1" ht="17.25">
      <c r="A2" s="22"/>
      <c r="B2" s="23"/>
    </row>
    <row x14ac:dyDescent="0.25" r="3" customHeight="1" ht="17.25">
      <c r="A3" s="24" t="s">
        <v>14</v>
      </c>
      <c r="B3" s="25" t="s">
        <v>88</v>
      </c>
    </row>
    <row x14ac:dyDescent="0.25" r="4" customHeight="1" ht="18">
      <c r="A4" s="26" t="s">
        <v>89</v>
      </c>
      <c r="B4" s="27"/>
    </row>
    <row x14ac:dyDescent="0.25" r="5" customHeight="1" ht="17.25">
      <c r="A5" s="28" t="s">
        <v>42</v>
      </c>
      <c r="B5" s="29">
        <v>70</v>
      </c>
    </row>
    <row x14ac:dyDescent="0.25" r="6" customHeight="1" ht="17.25">
      <c r="A6" s="28" t="s">
        <v>33</v>
      </c>
      <c r="B6" s="29">
        <v>106</v>
      </c>
    </row>
    <row x14ac:dyDescent="0.25" r="7" customHeight="1" ht="17.25">
      <c r="A7" s="28" t="s">
        <v>19</v>
      </c>
      <c r="B7" s="30">
        <v>137</v>
      </c>
    </row>
    <row x14ac:dyDescent="0.25" r="8" customHeight="1" ht="20.25">
      <c r="A8" s="31" t="s">
        <v>90</v>
      </c>
      <c r="B8" s="32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7"/>
  <sheetViews>
    <sheetView workbookViewId="0" tabSelected="1"/>
  </sheetViews>
  <sheetFormatPr defaultRowHeight="15" x14ac:dyDescent="0.25"/>
  <cols>
    <col min="1" max="1" style="19" width="11.005" customWidth="1" bestFit="1"/>
    <col min="2" max="2" style="19" width="18.005" customWidth="1" bestFit="1"/>
    <col min="3" max="3" style="19" width="35.71928571428572" customWidth="1" bestFit="1"/>
    <col min="4" max="4" style="19" width="15.147857142857141" customWidth="1" bestFit="1"/>
    <col min="5" max="5" style="20" width="12.43357142857143" customWidth="1" bestFit="1"/>
    <col min="6" max="6" style="12" width="12.005" customWidth="1" bestFit="1"/>
    <col min="7" max="7" style="20" width="12.005" customWidth="1" bestFit="1"/>
    <col min="8" max="8" style="21" width="12.005" customWidth="1" bestFit="1"/>
    <col min="9" max="9" style="19" width="7.862142857142857" customWidth="1" bestFit="1"/>
    <col min="10" max="10" style="19" width="12.43357142857143" customWidth="1" bestFit="1"/>
  </cols>
  <sheetData>
    <row x14ac:dyDescent="0.25" r="1" customHeight="1" ht="17.25">
      <c r="A1" s="16" t="s">
        <v>6</v>
      </c>
      <c r="B1" s="16" t="s">
        <v>7</v>
      </c>
      <c r="C1" s="16" t="s">
        <v>8</v>
      </c>
      <c r="D1" s="16" t="s">
        <v>9</v>
      </c>
      <c r="E1" s="1" t="s">
        <v>10</v>
      </c>
      <c r="F1" s="1" t="s">
        <v>11</v>
      </c>
      <c r="G1" s="1" t="s">
        <v>12</v>
      </c>
      <c r="H1" s="3" t="s">
        <v>13</v>
      </c>
      <c r="I1" s="16" t="s">
        <v>14</v>
      </c>
      <c r="J1" s="16" t="s">
        <v>15</v>
      </c>
    </row>
    <row x14ac:dyDescent="0.25" r="2" customHeight="1" ht="17.25">
      <c r="A2" s="17" t="s">
        <v>16</v>
      </c>
      <c r="B2" s="18"/>
      <c r="C2" s="17" t="s">
        <v>17</v>
      </c>
      <c r="D2" s="17" t="s">
        <v>18</v>
      </c>
      <c r="E2" s="5">
        <v>15</v>
      </c>
      <c r="F2" s="5">
        <v>5</v>
      </c>
      <c r="G2" s="5">
        <v>0</v>
      </c>
      <c r="H2" s="6">
        <f>(F2/(F2+G2))</f>
      </c>
      <c r="I2" s="17" t="s">
        <v>19</v>
      </c>
      <c r="J2" s="17" t="s">
        <v>20</v>
      </c>
    </row>
    <row x14ac:dyDescent="0.25" r="3" customHeight="1" ht="17.25">
      <c r="A3" s="17" t="s">
        <v>21</v>
      </c>
      <c r="B3" s="18"/>
      <c r="C3" s="17" t="s">
        <v>22</v>
      </c>
      <c r="D3" s="17" t="s">
        <v>23</v>
      </c>
      <c r="E3" s="5">
        <v>2</v>
      </c>
      <c r="F3" s="5">
        <v>2</v>
      </c>
      <c r="G3" s="5">
        <f>E3-F3</f>
      </c>
      <c r="H3" s="6">
        <f>(F3/(F3+G3))</f>
      </c>
      <c r="I3" s="17" t="s">
        <v>19</v>
      </c>
      <c r="J3" s="17" t="s">
        <v>20</v>
      </c>
    </row>
    <row x14ac:dyDescent="0.25" r="4" customHeight="1" ht="17.25">
      <c r="A4" s="17" t="s">
        <v>21</v>
      </c>
      <c r="B4" s="18"/>
      <c r="C4" s="17" t="s">
        <v>24</v>
      </c>
      <c r="D4" s="17" t="s">
        <v>23</v>
      </c>
      <c r="E4" s="5">
        <v>2</v>
      </c>
      <c r="F4" s="5">
        <v>2</v>
      </c>
      <c r="G4" s="5">
        <f>E4-F4</f>
      </c>
      <c r="H4" s="6">
        <f>(F4/(F4+G4))</f>
      </c>
      <c r="I4" s="17" t="s">
        <v>19</v>
      </c>
      <c r="J4" s="17" t="s">
        <v>20</v>
      </c>
    </row>
    <row x14ac:dyDescent="0.25" r="5" customHeight="1" ht="17.25">
      <c r="A5" s="17" t="s">
        <v>21</v>
      </c>
      <c r="B5" s="18"/>
      <c r="C5" s="17" t="s">
        <v>25</v>
      </c>
      <c r="D5" s="17" t="s">
        <v>23</v>
      </c>
      <c r="E5" s="5">
        <v>2</v>
      </c>
      <c r="F5" s="5">
        <v>2</v>
      </c>
      <c r="G5" s="5">
        <f>E5-F5</f>
      </c>
      <c r="H5" s="6">
        <f>(F5/(F5+G5))</f>
      </c>
      <c r="I5" s="17" t="s">
        <v>19</v>
      </c>
      <c r="J5" s="17" t="s">
        <v>20</v>
      </c>
    </row>
    <row x14ac:dyDescent="0.25" r="6" customHeight="1" ht="17.25">
      <c r="A6" s="17" t="s">
        <v>21</v>
      </c>
      <c r="B6" s="18"/>
      <c r="C6" s="17" t="s">
        <v>26</v>
      </c>
      <c r="D6" s="17" t="s">
        <v>23</v>
      </c>
      <c r="E6" s="5">
        <v>2</v>
      </c>
      <c r="F6" s="5">
        <v>2</v>
      </c>
      <c r="G6" s="5">
        <f>E6-F6</f>
      </c>
      <c r="H6" s="6">
        <f>(F6/(F6+G6))</f>
      </c>
      <c r="I6" s="17" t="s">
        <v>19</v>
      </c>
      <c r="J6" s="17" t="s">
        <v>20</v>
      </c>
    </row>
    <row x14ac:dyDescent="0.25" r="7" customHeight="1" ht="17.25">
      <c r="A7" s="17" t="s">
        <v>21</v>
      </c>
      <c r="B7" s="18"/>
      <c r="C7" s="17" t="s">
        <v>27</v>
      </c>
      <c r="D7" s="17" t="s">
        <v>23</v>
      </c>
      <c r="E7" s="5">
        <v>2</v>
      </c>
      <c r="F7" s="5">
        <v>2</v>
      </c>
      <c r="G7" s="5">
        <f>E7-F7</f>
      </c>
      <c r="H7" s="6">
        <f>(F7/(F7+G7))</f>
      </c>
      <c r="I7" s="17" t="s">
        <v>19</v>
      </c>
      <c r="J7" s="17" t="s">
        <v>20</v>
      </c>
    </row>
    <row x14ac:dyDescent="0.25" r="8" customHeight="1" ht="17.25">
      <c r="A8" s="17" t="s">
        <v>21</v>
      </c>
      <c r="B8" s="18"/>
      <c r="C8" s="17" t="s">
        <v>28</v>
      </c>
      <c r="D8" s="17" t="s">
        <v>23</v>
      </c>
      <c r="E8" s="5">
        <v>2</v>
      </c>
      <c r="F8" s="5">
        <v>2</v>
      </c>
      <c r="G8" s="5">
        <f>E8-F8</f>
      </c>
      <c r="H8" s="6">
        <f>(F8/(F8+G8))</f>
      </c>
      <c r="I8" s="17" t="s">
        <v>19</v>
      </c>
      <c r="J8" s="17" t="s">
        <v>20</v>
      </c>
    </row>
    <row x14ac:dyDescent="0.25" r="9" customHeight="1" ht="17.25">
      <c r="A9" s="17" t="s">
        <v>29</v>
      </c>
      <c r="B9" s="17" t="s">
        <v>30</v>
      </c>
      <c r="C9" s="17" t="s">
        <v>31</v>
      </c>
      <c r="D9" s="17" t="s">
        <v>32</v>
      </c>
      <c r="E9" s="5">
        <v>20</v>
      </c>
      <c r="F9" s="8"/>
      <c r="G9" s="5">
        <f>E9-F9</f>
      </c>
      <c r="H9" s="6">
        <f>(F9/(F9+G9))</f>
      </c>
      <c r="I9" s="17" t="s">
        <v>33</v>
      </c>
      <c r="J9" s="17" t="s">
        <v>34</v>
      </c>
    </row>
    <row x14ac:dyDescent="0.25" r="10" customHeight="1" ht="17.25">
      <c r="A10" s="17" t="s">
        <v>35</v>
      </c>
      <c r="B10" s="18"/>
      <c r="C10" s="17" t="s">
        <v>36</v>
      </c>
      <c r="D10" s="17" t="s">
        <v>37</v>
      </c>
      <c r="E10" s="5">
        <v>1</v>
      </c>
      <c r="F10" s="8"/>
      <c r="G10" s="5">
        <f>E10-F10</f>
      </c>
      <c r="H10" s="6">
        <f>(F10/(F10+G10))</f>
      </c>
      <c r="I10" s="17" t="s">
        <v>33</v>
      </c>
      <c r="J10" s="17" t="s">
        <v>34</v>
      </c>
    </row>
    <row x14ac:dyDescent="0.25" r="11" customHeight="1" ht="17.25">
      <c r="A11" s="17" t="s">
        <v>38</v>
      </c>
      <c r="B11" s="17" t="s">
        <v>39</v>
      </c>
      <c r="C11" s="17" t="s">
        <v>40</v>
      </c>
      <c r="D11" s="17" t="s">
        <v>41</v>
      </c>
      <c r="E11" s="5">
        <v>10</v>
      </c>
      <c r="F11" s="8"/>
      <c r="G11" s="5">
        <f>E11-F11</f>
      </c>
      <c r="H11" s="6">
        <f>(F11/(F11+G11))</f>
      </c>
      <c r="I11" s="17" t="s">
        <v>42</v>
      </c>
      <c r="J11" s="17" t="s">
        <v>34</v>
      </c>
    </row>
    <row x14ac:dyDescent="0.25" r="12" customHeight="1" ht="17.25">
      <c r="A12" s="18"/>
      <c r="B12" s="18"/>
      <c r="C12" s="17" t="s">
        <v>43</v>
      </c>
      <c r="D12" s="17" t="s">
        <v>41</v>
      </c>
      <c r="E12" s="5">
        <v>10</v>
      </c>
      <c r="F12" s="8"/>
      <c r="G12" s="5">
        <f>E12-F12</f>
      </c>
      <c r="H12" s="6">
        <f>(F12/(F12+G12))</f>
      </c>
      <c r="I12" s="17" t="s">
        <v>42</v>
      </c>
      <c r="J12" s="17" t="s">
        <v>34</v>
      </c>
    </row>
    <row x14ac:dyDescent="0.25" r="13" customHeight="1" ht="17.25">
      <c r="A13" s="18"/>
      <c r="B13" s="18"/>
      <c r="C13" s="17" t="s">
        <v>44</v>
      </c>
      <c r="D13" s="17" t="s">
        <v>41</v>
      </c>
      <c r="E13" s="5">
        <v>10</v>
      </c>
      <c r="F13" s="8"/>
      <c r="G13" s="5">
        <f>E13-F13</f>
      </c>
      <c r="H13" s="6">
        <f>(F13/(F13+G13))</f>
      </c>
      <c r="I13" s="17" t="s">
        <v>42</v>
      </c>
      <c r="J13" s="17" t="s">
        <v>34</v>
      </c>
    </row>
    <row x14ac:dyDescent="0.25" r="14" customHeight="1" ht="17.25">
      <c r="A14" s="17" t="s">
        <v>45</v>
      </c>
      <c r="B14" s="17" t="s">
        <v>46</v>
      </c>
      <c r="C14" s="17" t="s">
        <v>47</v>
      </c>
      <c r="D14" s="17" t="s">
        <v>41</v>
      </c>
      <c r="E14" s="5">
        <v>10</v>
      </c>
      <c r="F14" s="8"/>
      <c r="G14" s="5">
        <f>E14-F14</f>
      </c>
      <c r="H14" s="6">
        <f>(F14/(F14+G14))</f>
      </c>
      <c r="I14" s="17" t="s">
        <v>42</v>
      </c>
      <c r="J14" s="17" t="s">
        <v>34</v>
      </c>
    </row>
    <row x14ac:dyDescent="0.25" r="15" customHeight="1" ht="17.25">
      <c r="A15" s="18"/>
      <c r="B15" s="18"/>
      <c r="C15" s="17" t="s">
        <v>48</v>
      </c>
      <c r="D15" s="17" t="s">
        <v>41</v>
      </c>
      <c r="E15" s="5">
        <v>10</v>
      </c>
      <c r="F15" s="8"/>
      <c r="G15" s="5">
        <f>E15-F15</f>
      </c>
      <c r="H15" s="6">
        <f>(F15/(F15+G15))</f>
      </c>
      <c r="I15" s="17" t="s">
        <v>42</v>
      </c>
      <c r="J15" s="17" t="s">
        <v>34</v>
      </c>
    </row>
    <row x14ac:dyDescent="0.25" r="16" customHeight="1" ht="17.25">
      <c r="A16" s="18"/>
      <c r="B16" s="18"/>
      <c r="C16" s="17" t="s">
        <v>44</v>
      </c>
      <c r="D16" s="17" t="s">
        <v>41</v>
      </c>
      <c r="E16" s="5">
        <v>10</v>
      </c>
      <c r="F16" s="8"/>
      <c r="G16" s="5">
        <f>E16-F16</f>
      </c>
      <c r="H16" s="6">
        <f>(F16/(F16+G16))</f>
      </c>
      <c r="I16" s="17" t="s">
        <v>42</v>
      </c>
      <c r="J16" s="17" t="s">
        <v>34</v>
      </c>
    </row>
    <row x14ac:dyDescent="0.25" r="17" customHeight="1" ht="17.25">
      <c r="A17" s="17" t="s">
        <v>49</v>
      </c>
      <c r="B17" s="17" t="s">
        <v>50</v>
      </c>
      <c r="C17" s="17" t="s">
        <v>51</v>
      </c>
      <c r="D17" s="17" t="s">
        <v>41</v>
      </c>
      <c r="E17" s="5">
        <v>10</v>
      </c>
      <c r="F17" s="8"/>
      <c r="G17" s="5">
        <f>E17-F17</f>
      </c>
      <c r="H17" s="6">
        <f>(F17/(F17+G17))</f>
      </c>
      <c r="I17" s="17" t="s">
        <v>33</v>
      </c>
      <c r="J17" s="17" t="s">
        <v>34</v>
      </c>
    </row>
    <row x14ac:dyDescent="0.25" r="18" customHeight="1" ht="17.25">
      <c r="A18" s="18"/>
      <c r="B18" s="18"/>
      <c r="C18" s="17" t="s">
        <v>44</v>
      </c>
      <c r="D18" s="17" t="s">
        <v>41</v>
      </c>
      <c r="E18" s="5">
        <v>10</v>
      </c>
      <c r="F18" s="8"/>
      <c r="G18" s="5">
        <f>E18-F18</f>
      </c>
      <c r="H18" s="6">
        <f>(F18/(F18+G18))</f>
      </c>
      <c r="I18" s="17" t="s">
        <v>33</v>
      </c>
      <c r="J18" s="17" t="s">
        <v>34</v>
      </c>
    </row>
    <row x14ac:dyDescent="0.25" r="19" customHeight="1" ht="17.25">
      <c r="A19" s="18"/>
      <c r="B19" s="18"/>
      <c r="C19" s="17" t="s">
        <v>52</v>
      </c>
      <c r="D19" s="17" t="s">
        <v>41</v>
      </c>
      <c r="E19" s="5">
        <v>10</v>
      </c>
      <c r="F19" s="8"/>
      <c r="G19" s="5">
        <f>E19-F19</f>
      </c>
      <c r="H19" s="6">
        <f>(F19/(F19+G19))</f>
      </c>
      <c r="I19" s="17" t="s">
        <v>33</v>
      </c>
      <c r="J19" s="17" t="s">
        <v>34</v>
      </c>
    </row>
    <row x14ac:dyDescent="0.25" r="20" customHeight="1" ht="17.25">
      <c r="A20" s="18"/>
      <c r="B20" s="18"/>
      <c r="C20" s="17" t="s">
        <v>53</v>
      </c>
      <c r="D20" s="17" t="s">
        <v>41</v>
      </c>
      <c r="E20" s="5">
        <v>10</v>
      </c>
      <c r="F20" s="8"/>
      <c r="G20" s="5">
        <f>E20-F20</f>
      </c>
      <c r="H20" s="6">
        <f>(F20/(F20+G20))</f>
      </c>
      <c r="I20" s="17" t="s">
        <v>33</v>
      </c>
      <c r="J20" s="17" t="s">
        <v>34</v>
      </c>
    </row>
    <row x14ac:dyDescent="0.25" r="21" customHeight="1" ht="17.25">
      <c r="A21" s="17" t="s">
        <v>54</v>
      </c>
      <c r="B21" s="17" t="s">
        <v>55</v>
      </c>
      <c r="C21" s="17" t="s">
        <v>56</v>
      </c>
      <c r="D21" s="17" t="s">
        <v>57</v>
      </c>
      <c r="E21" s="5">
        <v>5</v>
      </c>
      <c r="F21" s="8"/>
      <c r="G21" s="5">
        <f>E21-F21</f>
      </c>
      <c r="H21" s="6">
        <f>(F21/(F21+G21))</f>
      </c>
      <c r="I21" s="17" t="s">
        <v>42</v>
      </c>
      <c r="J21" s="17" t="s">
        <v>34</v>
      </c>
    </row>
    <row x14ac:dyDescent="0.25" r="22" customHeight="1" ht="17.25">
      <c r="A22" s="17" t="s">
        <v>58</v>
      </c>
      <c r="B22" s="17" t="s">
        <v>59</v>
      </c>
      <c r="C22" s="17" t="s">
        <v>56</v>
      </c>
      <c r="D22" s="17" t="s">
        <v>57</v>
      </c>
      <c r="E22" s="5">
        <v>5</v>
      </c>
      <c r="F22" s="8"/>
      <c r="G22" s="5">
        <f>E22-F22</f>
      </c>
      <c r="H22" s="6">
        <f>(F22/(F22+G22))</f>
      </c>
      <c r="I22" s="17" t="s">
        <v>42</v>
      </c>
      <c r="J22" s="17" t="s">
        <v>34</v>
      </c>
    </row>
    <row x14ac:dyDescent="0.25" r="23" customHeight="1" ht="17.25">
      <c r="A23" s="17" t="s">
        <v>60</v>
      </c>
      <c r="B23" s="17" t="s">
        <v>61</v>
      </c>
      <c r="C23" s="17" t="s">
        <v>56</v>
      </c>
      <c r="D23" s="17" t="s">
        <v>57</v>
      </c>
      <c r="E23" s="5">
        <v>5</v>
      </c>
      <c r="F23" s="8"/>
      <c r="G23" s="5">
        <f>E23-F23</f>
      </c>
      <c r="H23" s="6">
        <f>(F23/(F23+G23))</f>
      </c>
      <c r="I23" s="17" t="s">
        <v>33</v>
      </c>
      <c r="J23" s="17" t="s">
        <v>34</v>
      </c>
    </row>
    <row x14ac:dyDescent="0.25" r="24" customHeight="1" ht="17.25">
      <c r="A24" s="17" t="s">
        <v>62</v>
      </c>
      <c r="B24" s="18"/>
      <c r="C24" s="17" t="s">
        <v>63</v>
      </c>
      <c r="D24" s="17" t="s">
        <v>37</v>
      </c>
      <c r="E24" s="5">
        <v>5</v>
      </c>
      <c r="F24" s="8"/>
      <c r="G24" s="5">
        <f>E24-F24</f>
      </c>
      <c r="H24" s="6">
        <f>(F24/(F24+G24))</f>
      </c>
      <c r="I24" s="17" t="s">
        <v>19</v>
      </c>
      <c r="J24" s="17" t="s">
        <v>34</v>
      </c>
    </row>
    <row x14ac:dyDescent="0.25" r="25" customHeight="1" ht="17.25">
      <c r="A25" s="17" t="s">
        <v>64</v>
      </c>
      <c r="B25" s="17" t="s">
        <v>30</v>
      </c>
      <c r="C25" s="17" t="s">
        <v>65</v>
      </c>
      <c r="D25" s="17" t="s">
        <v>32</v>
      </c>
      <c r="E25" s="5">
        <v>10</v>
      </c>
      <c r="F25" s="8"/>
      <c r="G25" s="5">
        <f>E25-F25</f>
      </c>
      <c r="H25" s="6">
        <f>(F25/(F25+G25))</f>
      </c>
      <c r="I25" s="17" t="s">
        <v>19</v>
      </c>
      <c r="J25" s="17" t="s">
        <v>34</v>
      </c>
    </row>
    <row x14ac:dyDescent="0.25" r="26" customHeight="1" ht="17.25">
      <c r="A26" s="18"/>
      <c r="B26" s="17" t="s">
        <v>30</v>
      </c>
      <c r="C26" s="17" t="s">
        <v>66</v>
      </c>
      <c r="D26" s="17" t="s">
        <v>67</v>
      </c>
      <c r="E26" s="5">
        <v>15</v>
      </c>
      <c r="F26" s="8"/>
      <c r="G26" s="5">
        <f>E26-F26</f>
      </c>
      <c r="H26" s="6">
        <f>(F26/(F26+G26))</f>
      </c>
      <c r="I26" s="17" t="s">
        <v>19</v>
      </c>
      <c r="J26" s="17" t="s">
        <v>34</v>
      </c>
    </row>
    <row x14ac:dyDescent="0.25" r="27" customHeight="1" ht="17.25">
      <c r="A27" s="18"/>
      <c r="B27" s="17" t="s">
        <v>30</v>
      </c>
      <c r="C27" s="17" t="s">
        <v>68</v>
      </c>
      <c r="D27" s="17" t="s">
        <v>69</v>
      </c>
      <c r="E27" s="5">
        <v>20</v>
      </c>
      <c r="F27" s="8"/>
      <c r="G27" s="5">
        <f>E27-F27</f>
      </c>
      <c r="H27" s="6">
        <f>(F27/(F27+G27))</f>
      </c>
      <c r="I27" s="17" t="s">
        <v>19</v>
      </c>
      <c r="J27" s="17" t="s">
        <v>34</v>
      </c>
    </row>
    <row x14ac:dyDescent="0.25" r="28" customHeight="1" ht="17.25">
      <c r="A28" s="17" t="s">
        <v>70</v>
      </c>
      <c r="B28" s="17" t="s">
        <v>30</v>
      </c>
      <c r="C28" s="17" t="s">
        <v>71</v>
      </c>
      <c r="D28" s="17" t="s">
        <v>70</v>
      </c>
      <c r="E28" s="5">
        <v>20</v>
      </c>
      <c r="F28" s="8"/>
      <c r="G28" s="5">
        <f>E28-F28</f>
      </c>
      <c r="H28" s="6">
        <f>(F28/(F28+G28))</f>
      </c>
      <c r="I28" s="17" t="s">
        <v>19</v>
      </c>
      <c r="J28" s="17" t="s">
        <v>34</v>
      </c>
    </row>
    <row x14ac:dyDescent="0.25" r="29" customHeight="1" ht="17.25">
      <c r="A29" s="17" t="s">
        <v>72</v>
      </c>
      <c r="B29" s="17" t="s">
        <v>73</v>
      </c>
      <c r="C29" s="17" t="s">
        <v>74</v>
      </c>
      <c r="D29" s="17" t="s">
        <v>75</v>
      </c>
      <c r="E29" s="5">
        <v>5</v>
      </c>
      <c r="F29" s="8"/>
      <c r="G29" s="5">
        <f>E29-F29</f>
      </c>
      <c r="H29" s="6">
        <f>(F29/(F29+G29))</f>
      </c>
      <c r="I29" s="17" t="s">
        <v>19</v>
      </c>
      <c r="J29" s="17" t="s">
        <v>34</v>
      </c>
    </row>
    <row x14ac:dyDescent="0.25" r="30" customHeight="1" ht="17.25">
      <c r="A30" s="18"/>
      <c r="B30" s="17" t="s">
        <v>76</v>
      </c>
      <c r="C30" s="17" t="s">
        <v>77</v>
      </c>
      <c r="D30" s="17" t="s">
        <v>75</v>
      </c>
      <c r="E30" s="5">
        <v>5</v>
      </c>
      <c r="F30" s="8"/>
      <c r="G30" s="5">
        <f>E30-F30</f>
      </c>
      <c r="H30" s="6">
        <f>(F30/(F30+G30))</f>
      </c>
      <c r="I30" s="17" t="s">
        <v>19</v>
      </c>
      <c r="J30" s="17" t="s">
        <v>34</v>
      </c>
    </row>
    <row x14ac:dyDescent="0.25" r="31" customHeight="1" ht="17.25">
      <c r="A31" s="17" t="s">
        <v>78</v>
      </c>
      <c r="B31" s="17" t="s">
        <v>79</v>
      </c>
      <c r="C31" s="17" t="s">
        <v>80</v>
      </c>
      <c r="D31" s="17" t="s">
        <v>41</v>
      </c>
      <c r="E31" s="5">
        <v>10</v>
      </c>
      <c r="F31" s="8"/>
      <c r="G31" s="5">
        <f>E31-F31</f>
      </c>
      <c r="H31" s="6">
        <f>(F31/(F31+G31))</f>
      </c>
      <c r="I31" s="17" t="s">
        <v>33</v>
      </c>
      <c r="J31" s="17" t="s">
        <v>34</v>
      </c>
    </row>
    <row x14ac:dyDescent="0.25" r="32" customHeight="1" ht="17.25">
      <c r="A32" s="18"/>
      <c r="B32" s="18"/>
      <c r="C32" s="17" t="s">
        <v>81</v>
      </c>
      <c r="D32" s="17" t="s">
        <v>41</v>
      </c>
      <c r="E32" s="5">
        <v>10</v>
      </c>
      <c r="F32" s="8"/>
      <c r="G32" s="5">
        <f>E32-F32</f>
      </c>
      <c r="H32" s="6">
        <f>(F32/(F32+G32))</f>
      </c>
      <c r="I32" s="17" t="s">
        <v>33</v>
      </c>
      <c r="J32" s="17" t="s">
        <v>34</v>
      </c>
    </row>
    <row x14ac:dyDescent="0.25" r="33" customHeight="1" ht="17.25">
      <c r="A33" s="18"/>
      <c r="B33" s="18"/>
      <c r="C33" s="17" t="s">
        <v>82</v>
      </c>
      <c r="D33" s="17" t="s">
        <v>41</v>
      </c>
      <c r="E33" s="5">
        <v>10</v>
      </c>
      <c r="F33" s="8"/>
      <c r="G33" s="5">
        <f>E33-F33</f>
      </c>
      <c r="H33" s="6">
        <f>(F33/(F33+G33))</f>
      </c>
      <c r="I33" s="17" t="s">
        <v>33</v>
      </c>
      <c r="J33" s="17" t="s">
        <v>34</v>
      </c>
    </row>
    <row x14ac:dyDescent="0.25" r="34" customHeight="1" ht="17.25">
      <c r="A34" s="17" t="s">
        <v>83</v>
      </c>
      <c r="B34" s="17" t="s">
        <v>84</v>
      </c>
      <c r="C34" s="17" t="s">
        <v>56</v>
      </c>
      <c r="D34" s="17" t="s">
        <v>57</v>
      </c>
      <c r="E34" s="5">
        <v>5</v>
      </c>
      <c r="F34" s="8"/>
      <c r="G34" s="5">
        <f>E34-F34</f>
      </c>
      <c r="H34" s="6">
        <f>(F34/(F34+G34))</f>
      </c>
      <c r="I34" s="17" t="s">
        <v>33</v>
      </c>
      <c r="J34" s="17" t="s">
        <v>34</v>
      </c>
    </row>
    <row x14ac:dyDescent="0.25" r="35" customHeight="1" ht="17.25">
      <c r="A35" s="17" t="s">
        <v>62</v>
      </c>
      <c r="B35" s="18"/>
      <c r="C35" s="17" t="s">
        <v>85</v>
      </c>
      <c r="D35" s="17" t="s">
        <v>37</v>
      </c>
      <c r="E35" s="5">
        <v>5</v>
      </c>
      <c r="F35" s="8"/>
      <c r="G35" s="5">
        <f>E35-F35</f>
      </c>
      <c r="H35" s="6">
        <f>(F35/(F35+G35))</f>
      </c>
      <c r="I35" s="17" t="s">
        <v>33</v>
      </c>
      <c r="J35" s="17" t="s">
        <v>34</v>
      </c>
    </row>
    <row x14ac:dyDescent="0.25" r="36" customHeight="1" ht="17.25">
      <c r="A36" s="17" t="s">
        <v>70</v>
      </c>
      <c r="B36" s="17" t="s">
        <v>86</v>
      </c>
      <c r="C36" s="17" t="s">
        <v>71</v>
      </c>
      <c r="D36" s="17" t="s">
        <v>70</v>
      </c>
      <c r="E36" s="5">
        <v>15</v>
      </c>
      <c r="F36" s="8"/>
      <c r="G36" s="5">
        <f>E36-F36</f>
      </c>
      <c r="H36" s="6">
        <f>(F36/(F36+G36))</f>
      </c>
      <c r="I36" s="17" t="s">
        <v>19</v>
      </c>
      <c r="J36" s="17" t="s">
        <v>34</v>
      </c>
    </row>
    <row x14ac:dyDescent="0.25" r="37" customHeight="1" ht="17.25">
      <c r="A37" s="17" t="s">
        <v>64</v>
      </c>
      <c r="B37" s="18"/>
      <c r="C37" s="17" t="s">
        <v>87</v>
      </c>
      <c r="D37" s="17" t="s">
        <v>64</v>
      </c>
      <c r="E37" s="5">
        <v>15</v>
      </c>
      <c r="F37" s="8"/>
      <c r="G37" s="5">
        <f>E37-F37</f>
      </c>
      <c r="H37" s="6">
        <f>(F37/(F37+G37))</f>
      </c>
      <c r="I37" s="17" t="s">
        <v>42</v>
      </c>
      <c r="J37" s="17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3"/>
  <sheetViews>
    <sheetView workbookViewId="0"/>
  </sheetViews>
  <sheetFormatPr defaultRowHeight="15" x14ac:dyDescent="0.25"/>
  <cols>
    <col min="1" max="1" style="12" width="25.576428571428572" customWidth="1" bestFit="1"/>
    <col min="2" max="2" style="12" width="25.862142857142857" customWidth="1" bestFit="1"/>
    <col min="3" max="3" style="13" width="30.862142857142857" customWidth="1" bestFit="1"/>
    <col min="4" max="4" style="14" width="12.576428571428572" customWidth="1" bestFit="1"/>
    <col min="5" max="5" style="15" width="22.576428571428572" customWidth="1" bestFit="1"/>
  </cols>
  <sheetData>
    <row x14ac:dyDescent="0.25" r="1" customHeight="1" ht="17.2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x14ac:dyDescent="0.25" r="2" customHeight="1" ht="17.25">
      <c r="A2" s="5">
        <f>SUM(&amp;apos;liste des taches&amp;apos;!E2:E332)</f>
      </c>
      <c r="B2" s="5">
        <f>SUM(&amp;apos;liste des taches&amp;apos;!F2:F332)</f>
      </c>
      <c r="C2" s="5">
        <f>SUM(&amp;apos;liste des taches&amp;apos;!G2:G332)</f>
      </c>
      <c r="D2" s="6">
        <f>(B2/(B2+C2))</f>
      </c>
      <c r="E2" s="7">
        <f>((B2+C2)-A2)/A2</f>
      </c>
    </row>
    <row x14ac:dyDescent="0.25" r="3" customHeight="1" ht="17.25">
      <c r="A3" s="8"/>
      <c r="B3" s="8"/>
      <c r="C3" s="9">
        <f>C2/60</f>
      </c>
      <c r="D3" s="10" t="s">
        <v>5</v>
      </c>
      <c r="E3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Recap</vt:lpstr>
      <vt:lpstr>liste des taches</vt:lpstr>
      <vt:lpstr>avancement projet</vt:lpstr>
      <vt:lpstr>Feuil4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2026-02-16T12:47:48.985Z</dcterms:created>
  <dcterms:modified xsi:type="dcterms:W3CDTF">2026-02-16T12:47:48.985Z</dcterms:modified>
</cp:coreProperties>
</file>