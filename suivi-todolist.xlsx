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<sst xmlns="http://schemas.openxmlformats.org/spreadsheetml/2006/main" count="302" uniqueCount="118">
  <si>
    <t xml:space="preserve">Qui</t>
  </si>
  <si>
    <t xml:space="preserve">Somme de Estimation</t>
  </si>
  <si>
    <t xml:space="preserve">(vide)</t>
  </si>
  <si>
    <t xml:space="preserve">Fifa</t>
  </si>
  <si>
    <t xml:space="preserve">Harena</t>
  </si>
  <si>
    <t xml:space="preserve">Jo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</si>
  <si>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</si>
  <si>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</si>
  <si>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</si>
  <si>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</si>
  <si>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</si>
  <si>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</si>
  <si>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</si>
  <si>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</si>
  <si>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</si>
  <si>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</si>
  <si>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base </t>
  </si>
  <si>
    <t xml:space="preserve">creation de la base</t>
  </si>
  <si>
    <t xml:space="preserve">Base données</t>
  </si>
  <si>
    <t xml:space="preserve">OK</t>
  </si>
  <si>
    <t xml:space="preserve">table</t>
  </si>
  <si>
    <t xml:space="preserve">besoin_type</t>
  </si>
  <si>
    <t xml:space="preserve">base</t>
  </si>
  <si>
    <t xml:space="preserve">besoin_bngrc</t>
  </si>
  <si>
    <t xml:space="preserve">region_bngrc</t>
  </si>
  <si>
    <t xml:space="preserve">ville_bngrc</t>
  </si>
  <si>
    <t xml:space="preserve">besoin_ville</t>
  </si>
  <si>
    <t xml:space="preserve">dons_bngrc</t>
  </si>
  <si>
    <t xml:space="preserve">dashboard</t>
  </si>
  <si>
    <t xml:space="preserve">home.php</t>
  </si>
  <si>
    <t xml:space="preserve">affichage ville</t>
  </si>
  <si>
    <t xml:space="preserve">affichage</t>
  </si>
  <si>
    <t xml:space="preserve">route</t>
  </si>
  <si>
    <t xml:space="preserve">redirection vers home</t>
  </si>
  <si>
    <t xml:space="preserve">redirection/lien</t>
  </si>
  <si>
    <t xml:space="preserve">Model 1</t>
  </si>
  <si>
    <t xml:space="preserve">VilleModel</t>
  </si>
  <si>
    <t xml:space="preserve">Function getville</t>
  </si>
  <si>
    <t xml:space="preserve">function</t>
  </si>
  <si>
    <t xml:space="preserve">Function findbyname</t>
  </si>
  <si>
    <t xml:space="preserve">function findbyid</t>
  </si>
  <si>
    <t xml:space="preserve">Model 2</t>
  </si>
  <si>
    <t xml:space="preserve">RegionModel</t>
  </si>
  <si>
    <t xml:space="preserve">Function getregion</t>
  </si>
  <si>
    <t xml:space="preserve">Function  findbyname</t>
  </si>
  <si>
    <t xml:space="preserve">Model 3</t>
  </si>
  <si>
    <t xml:space="preserve">BesoinModel</t>
  </si>
  <si>
    <t xml:space="preserve">Function getBesoin</t>
  </si>
  <si>
    <t xml:space="preserve">function  findbytype</t>
  </si>
  <si>
    <t xml:space="preserve">function  insertBesoin</t>
  </si>
  <si>
    <t xml:space="preserve">Controller 1</t>
  </si>
  <si>
    <t xml:space="preserve">VilleController</t>
  </si>
  <si>
    <t xml:space="preserve">appel des functions dans model</t>
  </si>
  <si>
    <t xml:space="preserve">controller</t>
  </si>
  <si>
    <t xml:space="preserve">Controller 2 </t>
  </si>
  <si>
    <t xml:space="preserve">RegionController</t>
  </si>
  <si>
    <t xml:space="preserve">Controller 3 </t>
  </si>
  <si>
    <t xml:space="preserve">BesoinController</t>
  </si>
  <si>
    <t xml:space="preserve">routes</t>
  </si>
  <si>
    <t xml:space="preserve">redirection de tous a partir des controller</t>
  </si>
  <si>
    <t xml:space="preserve">integration</t>
  </si>
  <si>
    <t xml:space="preserve">liste des villes + besoins + dons</t>
  </si>
  <si>
    <t xml:space="preserve">filtre par region</t>
  </si>
  <si>
    <t xml:space="preserve">filtre</t>
  </si>
  <si>
    <t xml:space="preserve">recherche par ville</t>
  </si>
  <si>
    <t xml:space="preserve">recherche</t>
  </si>
  <si>
    <t xml:space="preserve">design</t>
  </si>
  <si>
    <t xml:space="preserve">bootstrap integre + design soigner</t>
  </si>
  <si>
    <t xml:space="preserve">formulaire</t>
  </si>
  <si>
    <t xml:space="preserve">saisiDon.php</t>
  </si>
  <si>
    <t xml:space="preserve">saisi des dons</t>
  </si>
  <si>
    <t xml:space="preserve">form</t>
  </si>
  <si>
    <t xml:space="preserve">saisiBesoin.php</t>
  </si>
  <si>
    <t xml:space="preserve">saisi des besoins</t>
  </si>
  <si>
    <t xml:space="preserve">Model 4</t>
  </si>
  <si>
    <t xml:space="preserve">DonModel</t>
  </si>
  <si>
    <t xml:space="preserve">Function insertDon</t>
  </si>
  <si>
    <t xml:space="preserve">Function getDon</t>
  </si>
  <si>
    <t xml:space="preserve">function getbyid</t>
  </si>
  <si>
    <t xml:space="preserve">Controller 4</t>
  </si>
  <si>
    <t xml:space="preserve">DonController</t>
  </si>
  <si>
    <t xml:space="preserve">redirection a partir du controller</t>
  </si>
  <si>
    <t xml:space="preserve">saisi.php</t>
  </si>
  <si>
    <t xml:space="preserve">faire marcher les formulaire</t>
  </si>
  <si>
    <t xml:space="preserve">config_bngrc</t>
  </si>
  <si>
    <t xml:space="preserve">WIP</t>
  </si>
  <si>
    <t xml:space="preserve">achat_bngrc (historiques des achats)</t>
  </si>
  <si>
    <t xml:space="preserve">dons_argent_bngrc</t>
  </si>
  <si>
    <t xml:space="preserve">simulation</t>
  </si>
  <si>
    <t xml:space="preserve">besoin_restant/achat.php</t>
  </si>
  <si>
    <t xml:space="preserve">achat des besoins a partir des argents obtenu (raha tsisy)</t>
  </si>
  <si>
    <t xml:space="preserve">simulation.php</t>
  </si>
  <si>
    <t xml:space="preserve">simuler/valider le dispatch (dons → besoins)</t>
  </si>
  <si>
    <t xml:space="preserve">recapitulatif.php</t>
  </si>
  <si>
    <t xml:space="preserve">les stats en temps réel</t>
  </si>
  <si>
    <t xml:space="preserve"> Model 5</t>
  </si>
  <si>
    <t xml:space="preserve">AchatModel</t>
  </si>
  <si>
    <t xml:space="preserve">function getBesoinsRestants</t>
  </si>
  <si>
    <t xml:space="preserve">function getBesoinsRestantsByVille</t>
  </si>
  <si>
    <t xml:space="preserve">function getAvailableMoney</t>
  </si>
  <si>
    <t xml:space="preserve">function getTotalAvailableMoney</t>
  </si>
  <si>
    <t xml:space="preserve">function  getFraisAchat</t>
  </si>
  <si>
    <t xml:space="preserve">function createAchatSimulation</t>
  </si>
  <si>
    <t xml:space="preserve">function validateAchat</t>
  </si>
  <si>
    <t xml:space="preserve">function  getAchatsSimules</t>
  </si>
  <si>
    <t xml:space="preserve">function getAchatsValides</t>
  </si>
  <si>
    <t xml:space="preserve">function getRecapitulatif</t>
  </si>
  <si>
    <t xml:space="preserve">function getAchatSimulation</t>
  </si>
  <si>
    <t xml:space="preserve">function deleteAchatSimulation</t>
  </si>
  <si>
    <t xml:space="preserve">Controller 5</t>
  </si>
  <si>
    <t xml:space="preserve">AchatController</t>
  </si>
  <si>
    <t xml:space="preserve">desgin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</si>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</sst>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%"/>
    <numFmt numFmtId="167" formatCode="#,##0.00"/>
    <numFmt numFmtId="168" formatCode="#,##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hamp de la table dynamique" xfId="20"/>
    <cellStyle name="Catégorie de la table dynamique" xfId="21"/>
    <cellStyle name="Titre de la table dynamique" xfId="22"/>
    <cellStyle name="Coin de la table dynamique" xfId="23"/>
    <cellStyle name="Valeur de la table dynamique" xfId="24"/>
    <cellStyle name="Résultat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1"/>
    <col collapsed="false" customWidth="true" hidden="false" outlineLevel="0" max="2" min="2" style="2" width="19.58"/>
  </cols>
  <sheetData>
    <row r="1" customFormat="false" ht="19.5" hidden="false" customHeight="true" outlineLevel="0" collapsed="false"/>
    <row r="2" customFormat="false" ht="19.5" hidden="false" customHeight="true" outlineLevel="0" collapsed="false"/>
    <row r="3" customFormat="false" ht="19.5" hidden="false" customHeight="true" outlineLevel="0" collapsed="false">
      <c r="A3" s="3" t="s">
        <v>0</v>
      </c>
      <c r="B3" s="4" t="s">
        <v>1</v>
      </c>
    </row>
    <row r="4" customFormat="false" ht="20.25" hidden="false" customHeight="true" outlineLevel="0" collapsed="false">
      <c r="A4" s="5" t="s">
        <v>2</v>
      </c>
      <c r="B4" s="6"/>
    </row>
    <row r="5" customFormat="false" ht="19.5" hidden="false" customHeight="true" outlineLevel="0" collapsed="false">
      <c r="A5" s="7" t="s">
        <v>3</v>
      </c>
      <c r="B5" s="8" t="n">
        <v>70</v>
      </c>
    </row>
    <row r="6" customFormat="false" ht="19.5" hidden="false" customHeight="true" outlineLevel="0" collapsed="false">
      <c r="A6" s="7" t="s">
        <v>4</v>
      </c>
      <c r="B6" s="8" t="n">
        <v>106</v>
      </c>
    </row>
    <row r="7" customFormat="false" ht="19.5" hidden="false" customHeight="true" outlineLevel="0" collapsed="false">
      <c r="A7" s="7" t="s">
        <v>5</v>
      </c>
      <c r="B7" s="9" t="n">
        <v>137</v>
      </c>
    </row>
    <row r="8" customFormat="false" ht="20.25" hidden="false" customHeight="true" outlineLevel="0" collapsed="false">
      <c r="A8" s="10" t="s">
        <v>6</v>
      </c>
      <c r="B8" s="11" t="n">
        <v>313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true" showOutlineSymbols="true" defaultGridColor="true" view="normal" topLeftCell="B46" colorId="64" zoomScale="110" zoomScaleNormal="110" zoomScalePageLayoutView="100" workbookViewId="0">
      <selection pane="topLeft" activeCell="I54" activeCellId="0" sqref="I54"/>
    </sheetView>
  </sheetViews>
  <sheetFormatPr defaultColWidth="8.59765625" defaultRowHeight="15" zeroHeight="false" outlineLevelRow="0" outlineLevelCol="0"/>
  <cols>
    <col collapsed="false" customWidth="true" hidden="false" outlineLevel="0" max="1" min="1" style="12" width="11.01"/>
    <col collapsed="false" customWidth="true" hidden="false" outlineLevel="0" max="2" min="2" style="12" width="23.06"/>
    <col collapsed="false" customWidth="true" hidden="false" outlineLevel="0" max="3" min="3" style="12" width="50.7"/>
    <col collapsed="false" customWidth="true" hidden="false" outlineLevel="0" max="4" min="4" style="12" width="15.15"/>
    <col collapsed="false" customWidth="true" hidden="false" outlineLevel="0" max="5" min="5" style="2" width="14.15"/>
    <col collapsed="false" customWidth="true" hidden="false" outlineLevel="0" max="6" min="6" style="13" width="13.76"/>
    <col collapsed="false" customWidth="true" hidden="false" outlineLevel="0" max="7" min="7" style="2" width="14.17"/>
    <col collapsed="false" customWidth="true" hidden="false" outlineLevel="0" max="8" min="8" style="14" width="15.93"/>
    <col collapsed="false" customWidth="true" hidden="false" outlineLevel="0" max="9" min="9" style="12" width="10.34"/>
    <col collapsed="false" customWidth="true" hidden="false" outlineLevel="0" max="10" min="10" style="12" width="14.15"/>
  </cols>
  <sheetData>
    <row r="1" customFormat="false" ht="19.5" hidden="false" customHeight="true" outlineLevel="0" collapsed="false">
      <c r="A1" s="15" t="s">
        <v>7</v>
      </c>
      <c r="B1" s="15" t="s">
        <v>8</v>
      </c>
      <c r="C1" s="15" t="s">
        <v>9</v>
      </c>
      <c r="D1" s="15" t="s">
        <v>10</v>
      </c>
      <c r="E1" s="16" t="s">
        <v>11</v>
      </c>
      <c r="F1" s="16" t="s">
        <v>12</v>
      </c>
      <c r="G1" s="16" t="s">
        <v>13</v>
      </c>
      <c r="H1" s="17" t="s">
        <v>14</v>
      </c>
      <c r="I1" s="15" t="s">
        <v>0</v>
      </c>
      <c r="J1" s="15" t="s">
        <v>15</v>
      </c>
    </row>
    <row r="2" customFormat="false" ht="19.5" hidden="false" customHeight="true" outlineLevel="0" collapsed="false">
      <c r="A2" s="18" t="s">
        <v>16</v>
      </c>
      <c r="C2" s="18" t="s">
        <v>17</v>
      </c>
      <c r="D2" s="18" t="s">
        <v>18</v>
      </c>
      <c r="E2" s="19" t="n">
        <v>15</v>
      </c>
      <c r="F2" s="19" t="n">
        <v>5</v>
      </c>
      <c r="G2" s="19" t="n">
        <v>0</v>
      </c>
      <c r="H2" s="20" t="n">
        <f aca="false">(F2/(F2+G2))</f>
        <v>1</v>
      </c>
      <c r="I2" s="18" t="s">
        <v>5</v>
      </c>
      <c r="J2" s="18" t="s">
        <v>19</v>
      </c>
    </row>
    <row r="3" customFormat="false" ht="19.5" hidden="false" customHeight="true" outlineLevel="0" collapsed="false">
      <c r="A3" s="18" t="s">
        <v>20</v>
      </c>
      <c r="C3" s="18" t="s">
        <v>21</v>
      </c>
      <c r="D3" s="18" t="s">
        <v>22</v>
      </c>
      <c r="E3" s="19" t="n">
        <v>2</v>
      </c>
      <c r="F3" s="19" t="n">
        <v>2</v>
      </c>
      <c r="G3" s="19" t="n">
        <f aca="false">E3-F3</f>
        <v>0</v>
      </c>
      <c r="H3" s="20" t="n">
        <f aca="false">(F3/(F3+G3))</f>
        <v>1</v>
      </c>
      <c r="I3" s="18" t="s">
        <v>5</v>
      </c>
      <c r="J3" s="18" t="s">
        <v>19</v>
      </c>
    </row>
    <row r="4" customFormat="false" ht="19.5" hidden="false" customHeight="true" outlineLevel="0" collapsed="false">
      <c r="A4" s="18" t="s">
        <v>20</v>
      </c>
      <c r="C4" s="18" t="s">
        <v>23</v>
      </c>
      <c r="D4" s="18" t="s">
        <v>22</v>
      </c>
      <c r="E4" s="19" t="n">
        <v>2</v>
      </c>
      <c r="F4" s="19" t="n">
        <v>2</v>
      </c>
      <c r="G4" s="19" t="n">
        <f aca="false">E4-F4</f>
        <v>0</v>
      </c>
      <c r="H4" s="20" t="n">
        <f aca="false">(F4/(F4+G4))</f>
        <v>1</v>
      </c>
      <c r="I4" s="18" t="s">
        <v>5</v>
      </c>
      <c r="J4" s="18" t="s">
        <v>19</v>
      </c>
    </row>
    <row r="5" customFormat="false" ht="19.5" hidden="false" customHeight="true" outlineLevel="0" collapsed="false">
      <c r="A5" s="18" t="s">
        <v>20</v>
      </c>
      <c r="C5" s="18" t="s">
        <v>24</v>
      </c>
      <c r="D5" s="18" t="s">
        <v>22</v>
      </c>
      <c r="E5" s="19" t="n">
        <v>2</v>
      </c>
      <c r="F5" s="19" t="n">
        <v>2</v>
      </c>
      <c r="G5" s="19" t="n">
        <f aca="false">E5-F5</f>
        <v>0</v>
      </c>
      <c r="H5" s="20" t="n">
        <f aca="false">(F5/(F5+G5))</f>
        <v>1</v>
      </c>
      <c r="I5" s="18" t="s">
        <v>5</v>
      </c>
      <c r="J5" s="18" t="s">
        <v>19</v>
      </c>
    </row>
    <row r="6" customFormat="false" ht="19.5" hidden="false" customHeight="true" outlineLevel="0" collapsed="false">
      <c r="A6" s="18" t="s">
        <v>20</v>
      </c>
      <c r="C6" s="18" t="s">
        <v>25</v>
      </c>
      <c r="D6" s="18" t="s">
        <v>22</v>
      </c>
      <c r="E6" s="19" t="n">
        <v>2</v>
      </c>
      <c r="F6" s="19" t="n">
        <v>2</v>
      </c>
      <c r="G6" s="19" t="n">
        <f aca="false">E6-F6</f>
        <v>0</v>
      </c>
      <c r="H6" s="20" t="n">
        <f aca="false">(F6/(F6+G6))</f>
        <v>1</v>
      </c>
      <c r="I6" s="18" t="s">
        <v>5</v>
      </c>
      <c r="J6" s="18" t="s">
        <v>19</v>
      </c>
    </row>
    <row r="7" customFormat="false" ht="19.5" hidden="false" customHeight="true" outlineLevel="0" collapsed="false">
      <c r="A7" s="18" t="s">
        <v>20</v>
      </c>
      <c r="C7" s="18" t="s">
        <v>26</v>
      </c>
      <c r="D7" s="18" t="s">
        <v>22</v>
      </c>
      <c r="E7" s="19" t="n">
        <v>2</v>
      </c>
      <c r="F7" s="19" t="n">
        <v>2</v>
      </c>
      <c r="G7" s="19" t="n">
        <f aca="false">E7-F7</f>
        <v>0</v>
      </c>
      <c r="H7" s="20" t="n">
        <f aca="false">(F7/(F7+G7))</f>
        <v>1</v>
      </c>
      <c r="I7" s="18" t="s">
        <v>5</v>
      </c>
      <c r="J7" s="18" t="s">
        <v>19</v>
      </c>
    </row>
    <row r="8" customFormat="false" ht="19.5" hidden="false" customHeight="true" outlineLevel="0" collapsed="false">
      <c r="A8" s="18" t="s">
        <v>20</v>
      </c>
      <c r="C8" s="18" t="s">
        <v>27</v>
      </c>
      <c r="D8" s="18" t="s">
        <v>22</v>
      </c>
      <c r="E8" s="19" t="n">
        <v>2</v>
      </c>
      <c r="F8" s="19" t="n">
        <v>2</v>
      </c>
      <c r="G8" s="19" t="n">
        <f aca="false">E8-F8</f>
        <v>0</v>
      </c>
      <c r="H8" s="20" t="n">
        <f aca="false">(F8/(F8+G8))</f>
        <v>1</v>
      </c>
      <c r="I8" s="18" t="s">
        <v>5</v>
      </c>
      <c r="J8" s="18" t="s">
        <v>19</v>
      </c>
    </row>
    <row r="9" customFormat="false" ht="19.5" hidden="false" customHeight="true" outlineLevel="0" collapsed="false">
      <c r="A9" s="18" t="s">
        <v>28</v>
      </c>
      <c r="B9" s="18" t="s">
        <v>29</v>
      </c>
      <c r="C9" s="18" t="s">
        <v>30</v>
      </c>
      <c r="D9" s="18" t="s">
        <v>31</v>
      </c>
      <c r="E9" s="19" t="n">
        <v>20</v>
      </c>
      <c r="F9" s="13" t="n">
        <v>10</v>
      </c>
      <c r="G9" s="19" t="n">
        <v>0</v>
      </c>
      <c r="H9" s="20" t="n">
        <f aca="false">(F9/(F9+G9))</f>
        <v>1</v>
      </c>
      <c r="I9" s="18" t="s">
        <v>4</v>
      </c>
      <c r="J9" s="18" t="s">
        <v>19</v>
      </c>
    </row>
    <row r="10" customFormat="false" ht="19.5" hidden="false" customHeight="true" outlineLevel="0" collapsed="false">
      <c r="A10" s="18" t="s">
        <v>32</v>
      </c>
      <c r="C10" s="18" t="s">
        <v>33</v>
      </c>
      <c r="D10" s="18" t="s">
        <v>34</v>
      </c>
      <c r="E10" s="19" t="n">
        <v>1</v>
      </c>
      <c r="F10" s="13" t="n">
        <v>1</v>
      </c>
      <c r="G10" s="19" t="n">
        <f aca="false">E10-F10</f>
        <v>0</v>
      </c>
      <c r="H10" s="20" t="n">
        <f aca="false">(F10/(F10+G10))</f>
        <v>1</v>
      </c>
      <c r="I10" s="18" t="s">
        <v>4</v>
      </c>
      <c r="J10" s="18" t="s">
        <v>19</v>
      </c>
    </row>
    <row r="11" customFormat="false" ht="19.5" hidden="false" customHeight="true" outlineLevel="0" collapsed="false">
      <c r="A11" s="18" t="s">
        <v>35</v>
      </c>
      <c r="B11" s="18" t="s">
        <v>36</v>
      </c>
      <c r="C11" s="18" t="s">
        <v>37</v>
      </c>
      <c r="D11" s="18" t="s">
        <v>38</v>
      </c>
      <c r="E11" s="19" t="n">
        <v>10</v>
      </c>
      <c r="F11" s="13" t="n">
        <v>5</v>
      </c>
      <c r="G11" s="19" t="n">
        <v>0</v>
      </c>
      <c r="H11" s="20" t="n">
        <f aca="false">(F11/(F11+G11))</f>
        <v>1</v>
      </c>
      <c r="I11" s="18" t="s">
        <v>3</v>
      </c>
      <c r="J11" s="18" t="s">
        <v>19</v>
      </c>
    </row>
    <row r="12" customFormat="false" ht="19.5" hidden="false" customHeight="true" outlineLevel="0" collapsed="false">
      <c r="C12" s="18" t="s">
        <v>39</v>
      </c>
      <c r="D12" s="18" t="s">
        <v>38</v>
      </c>
      <c r="E12" s="19" t="n">
        <v>10</v>
      </c>
      <c r="F12" s="13" t="n">
        <v>10</v>
      </c>
      <c r="G12" s="19" t="n">
        <f aca="false">E12-F12</f>
        <v>0</v>
      </c>
      <c r="H12" s="20" t="n">
        <f aca="false">(F12/(F12+G12))</f>
        <v>1</v>
      </c>
      <c r="I12" s="18" t="s">
        <v>3</v>
      </c>
      <c r="J12" s="18" t="s">
        <v>19</v>
      </c>
    </row>
    <row r="13" customFormat="false" ht="19.5" hidden="false" customHeight="true" outlineLevel="0" collapsed="false">
      <c r="C13" s="18" t="s">
        <v>40</v>
      </c>
      <c r="D13" s="18" t="s">
        <v>38</v>
      </c>
      <c r="E13" s="19" t="n">
        <v>10</v>
      </c>
      <c r="F13" s="13" t="n">
        <v>10</v>
      </c>
      <c r="G13" s="19" t="n">
        <f aca="false">E13-F13</f>
        <v>0</v>
      </c>
      <c r="H13" s="20" t="n">
        <f aca="false">(F13/(F13+G13))</f>
        <v>1</v>
      </c>
      <c r="I13" s="18" t="s">
        <v>3</v>
      </c>
      <c r="J13" s="18" t="s">
        <v>19</v>
      </c>
    </row>
    <row r="14" customFormat="false" ht="19.5" hidden="false" customHeight="true" outlineLevel="0" collapsed="false">
      <c r="A14" s="18" t="s">
        <v>41</v>
      </c>
      <c r="B14" s="18" t="s">
        <v>42</v>
      </c>
      <c r="C14" s="18" t="s">
        <v>43</v>
      </c>
      <c r="D14" s="18" t="s">
        <v>38</v>
      </c>
      <c r="E14" s="19" t="n">
        <v>10</v>
      </c>
      <c r="F14" s="13" t="n">
        <v>5</v>
      </c>
      <c r="G14" s="19" t="n">
        <v>0</v>
      </c>
      <c r="H14" s="20" t="n">
        <f aca="false">(F14/(F14+G14))</f>
        <v>1</v>
      </c>
      <c r="I14" s="18" t="s">
        <v>3</v>
      </c>
      <c r="J14" s="18" t="s">
        <v>19</v>
      </c>
    </row>
    <row r="15" customFormat="false" ht="19.5" hidden="false" customHeight="true" outlineLevel="0" collapsed="false">
      <c r="C15" s="18" t="s">
        <v>44</v>
      </c>
      <c r="D15" s="18" t="s">
        <v>38</v>
      </c>
      <c r="E15" s="19" t="n">
        <v>10</v>
      </c>
      <c r="F15" s="13" t="n">
        <v>10</v>
      </c>
      <c r="G15" s="19" t="n">
        <f aca="false">E15-F15</f>
        <v>0</v>
      </c>
      <c r="H15" s="20" t="n">
        <f aca="false">(F15/(F15+G15))</f>
        <v>1</v>
      </c>
      <c r="I15" s="18" t="s">
        <v>3</v>
      </c>
      <c r="J15" s="18" t="s">
        <v>19</v>
      </c>
    </row>
    <row r="16" customFormat="false" ht="19.5" hidden="false" customHeight="true" outlineLevel="0" collapsed="false">
      <c r="C16" s="18" t="s">
        <v>40</v>
      </c>
      <c r="D16" s="18" t="s">
        <v>38</v>
      </c>
      <c r="E16" s="19" t="n">
        <v>5</v>
      </c>
      <c r="F16" s="13" t="n">
        <v>5</v>
      </c>
      <c r="G16" s="19" t="n">
        <v>5</v>
      </c>
      <c r="H16" s="20" t="n">
        <f aca="false">(F16/(F16+G16))</f>
        <v>0.5</v>
      </c>
      <c r="I16" s="18" t="s">
        <v>3</v>
      </c>
      <c r="J16" s="18" t="s">
        <v>19</v>
      </c>
    </row>
    <row r="17" customFormat="false" ht="19.5" hidden="false" customHeight="true" outlineLevel="0" collapsed="false">
      <c r="A17" s="18" t="s">
        <v>45</v>
      </c>
      <c r="B17" s="18" t="s">
        <v>46</v>
      </c>
      <c r="C17" s="18" t="s">
        <v>47</v>
      </c>
      <c r="D17" s="18" t="s">
        <v>38</v>
      </c>
      <c r="E17" s="19" t="n">
        <v>10</v>
      </c>
      <c r="F17" s="13" t="n">
        <v>10</v>
      </c>
      <c r="G17" s="19" t="n">
        <f aca="false">E17-F17</f>
        <v>0</v>
      </c>
      <c r="H17" s="20" t="n">
        <f aca="false">(F17/(F17+G17))</f>
        <v>1</v>
      </c>
      <c r="I17" s="18" t="s">
        <v>4</v>
      </c>
      <c r="J17" s="18" t="s">
        <v>19</v>
      </c>
    </row>
    <row r="18" customFormat="false" ht="19.5" hidden="false" customHeight="true" outlineLevel="0" collapsed="false">
      <c r="C18" s="18" t="s">
        <v>40</v>
      </c>
      <c r="D18" s="18" t="s">
        <v>38</v>
      </c>
      <c r="E18" s="19" t="n">
        <v>10</v>
      </c>
      <c r="F18" s="13" t="n">
        <v>10</v>
      </c>
      <c r="G18" s="19" t="n">
        <f aca="false">E18-F18</f>
        <v>0</v>
      </c>
      <c r="H18" s="20" t="n">
        <f aca="false">(F18/(F18+G18))</f>
        <v>1</v>
      </c>
      <c r="I18" s="18" t="s">
        <v>4</v>
      </c>
      <c r="J18" s="18" t="s">
        <v>19</v>
      </c>
    </row>
    <row r="19" customFormat="false" ht="19.5" hidden="false" customHeight="true" outlineLevel="0" collapsed="false">
      <c r="C19" s="18" t="s">
        <v>48</v>
      </c>
      <c r="D19" s="18" t="s">
        <v>38</v>
      </c>
      <c r="E19" s="19" t="n">
        <v>10</v>
      </c>
      <c r="F19" s="13" t="n">
        <v>10</v>
      </c>
      <c r="G19" s="19" t="n">
        <f aca="false">E19-F19</f>
        <v>0</v>
      </c>
      <c r="H19" s="20" t="n">
        <f aca="false">(F19/(F19+G19))</f>
        <v>1</v>
      </c>
      <c r="I19" s="18" t="s">
        <v>4</v>
      </c>
      <c r="J19" s="18" t="s">
        <v>19</v>
      </c>
    </row>
    <row r="20" customFormat="false" ht="19.5" hidden="false" customHeight="true" outlineLevel="0" collapsed="false">
      <c r="C20" s="18" t="s">
        <v>49</v>
      </c>
      <c r="D20" s="18" t="s">
        <v>38</v>
      </c>
      <c r="E20" s="19" t="n">
        <v>10</v>
      </c>
      <c r="F20" s="13" t="n">
        <v>10</v>
      </c>
      <c r="G20" s="19" t="n">
        <f aca="false">E20-F20</f>
        <v>0</v>
      </c>
      <c r="H20" s="20" t="n">
        <f aca="false">(F20/(F20+G20))</f>
        <v>1</v>
      </c>
      <c r="I20" s="18" t="s">
        <v>4</v>
      </c>
      <c r="J20" s="18" t="s">
        <v>19</v>
      </c>
    </row>
    <row r="21" customFormat="false" ht="19.5" hidden="false" customHeight="true" outlineLevel="0" collapsed="false">
      <c r="A21" s="18" t="s">
        <v>50</v>
      </c>
      <c r="B21" s="18" t="s">
        <v>51</v>
      </c>
      <c r="C21" s="18" t="s">
        <v>52</v>
      </c>
      <c r="D21" s="18" t="s">
        <v>53</v>
      </c>
      <c r="E21" s="19" t="n">
        <v>5</v>
      </c>
      <c r="F21" s="13" t="n">
        <v>10</v>
      </c>
      <c r="G21" s="19" t="n">
        <v>0</v>
      </c>
      <c r="H21" s="20" t="n">
        <f aca="false">(F21/(F21+G21))</f>
        <v>1</v>
      </c>
      <c r="I21" s="18" t="s">
        <v>3</v>
      </c>
      <c r="J21" s="18" t="s">
        <v>19</v>
      </c>
    </row>
    <row r="22" customFormat="false" ht="19.5" hidden="false" customHeight="true" outlineLevel="0" collapsed="false">
      <c r="A22" s="18" t="s">
        <v>54</v>
      </c>
      <c r="B22" s="18" t="s">
        <v>55</v>
      </c>
      <c r="C22" s="18" t="s">
        <v>52</v>
      </c>
      <c r="D22" s="18" t="s">
        <v>53</v>
      </c>
      <c r="E22" s="19" t="n">
        <v>5</v>
      </c>
      <c r="F22" s="13" t="n">
        <v>6</v>
      </c>
      <c r="G22" s="19" t="n">
        <v>0</v>
      </c>
      <c r="H22" s="20" t="n">
        <f aca="false">(F22/(F22+G22))</f>
        <v>1</v>
      </c>
      <c r="I22" s="18" t="s">
        <v>3</v>
      </c>
      <c r="J22" s="18" t="s">
        <v>19</v>
      </c>
    </row>
    <row r="23" customFormat="false" ht="19.5" hidden="false" customHeight="true" outlineLevel="0" collapsed="false">
      <c r="A23" s="18" t="s">
        <v>56</v>
      </c>
      <c r="B23" s="18" t="s">
        <v>57</v>
      </c>
      <c r="C23" s="18" t="s">
        <v>52</v>
      </c>
      <c r="D23" s="18" t="s">
        <v>53</v>
      </c>
      <c r="E23" s="19" t="n">
        <v>5</v>
      </c>
      <c r="F23" s="13" t="n">
        <v>5</v>
      </c>
      <c r="G23" s="19" t="n">
        <f aca="false">E23-F23</f>
        <v>0</v>
      </c>
      <c r="H23" s="20" t="n">
        <f aca="false">(F23/(F23+G23))</f>
        <v>1</v>
      </c>
      <c r="I23" s="18" t="s">
        <v>4</v>
      </c>
      <c r="J23" s="18" t="s">
        <v>19</v>
      </c>
    </row>
    <row r="24" customFormat="false" ht="19.5" hidden="false" customHeight="true" outlineLevel="0" collapsed="false">
      <c r="A24" s="18" t="s">
        <v>58</v>
      </c>
      <c r="C24" s="18" t="s">
        <v>59</v>
      </c>
      <c r="D24" s="18" t="s">
        <v>34</v>
      </c>
      <c r="E24" s="19" t="n">
        <v>5</v>
      </c>
      <c r="F24" s="13" t="n">
        <v>5</v>
      </c>
      <c r="G24" s="19" t="n">
        <f aca="false">E24-F24</f>
        <v>0</v>
      </c>
      <c r="H24" s="20" t="n">
        <f aca="false">(F24/(F24+G24))</f>
        <v>1</v>
      </c>
      <c r="I24" s="18" t="s">
        <v>4</v>
      </c>
      <c r="J24" s="18" t="s">
        <v>19</v>
      </c>
    </row>
    <row r="25" customFormat="false" ht="19.5" hidden="false" customHeight="true" outlineLevel="0" collapsed="false">
      <c r="A25" s="18" t="s">
        <v>60</v>
      </c>
      <c r="B25" s="18" t="s">
        <v>29</v>
      </c>
      <c r="C25" s="18" t="s">
        <v>61</v>
      </c>
      <c r="D25" s="18" t="s">
        <v>31</v>
      </c>
      <c r="E25" s="19" t="n">
        <v>10</v>
      </c>
      <c r="F25" s="13" t="n">
        <v>10</v>
      </c>
      <c r="G25" s="19" t="n">
        <f aca="false">E25-F25</f>
        <v>0</v>
      </c>
      <c r="H25" s="20" t="n">
        <f aca="false">(F25/(F25+G25))</f>
        <v>1</v>
      </c>
      <c r="I25" s="18" t="s">
        <v>5</v>
      </c>
      <c r="J25" s="18" t="s">
        <v>19</v>
      </c>
    </row>
    <row r="26" customFormat="false" ht="19.5" hidden="false" customHeight="true" outlineLevel="0" collapsed="false">
      <c r="B26" s="18" t="s">
        <v>29</v>
      </c>
      <c r="C26" s="18" t="s">
        <v>62</v>
      </c>
      <c r="D26" s="18" t="s">
        <v>63</v>
      </c>
      <c r="E26" s="19" t="n">
        <v>15</v>
      </c>
      <c r="F26" s="13" t="n">
        <v>15</v>
      </c>
      <c r="G26" s="19" t="n">
        <f aca="false">E26-F26</f>
        <v>0</v>
      </c>
      <c r="H26" s="20" t="n">
        <f aca="false">(F26/(F26+G26))</f>
        <v>1</v>
      </c>
      <c r="I26" s="18" t="s">
        <v>5</v>
      </c>
      <c r="J26" s="18" t="s">
        <v>19</v>
      </c>
    </row>
    <row r="27" customFormat="false" ht="19.5" hidden="false" customHeight="true" outlineLevel="0" collapsed="false">
      <c r="B27" s="18" t="s">
        <v>29</v>
      </c>
      <c r="C27" s="18" t="s">
        <v>64</v>
      </c>
      <c r="D27" s="18" t="s">
        <v>65</v>
      </c>
      <c r="E27" s="19" t="n">
        <v>20</v>
      </c>
      <c r="F27" s="13" t="n">
        <v>20</v>
      </c>
      <c r="G27" s="19" t="n">
        <f aca="false">E27-F27</f>
        <v>0</v>
      </c>
      <c r="H27" s="20" t="n">
        <f aca="false">(F27/(F27+G27))</f>
        <v>1</v>
      </c>
      <c r="I27" s="18" t="s">
        <v>5</v>
      </c>
      <c r="J27" s="18" t="s">
        <v>19</v>
      </c>
    </row>
    <row r="28" customFormat="false" ht="19.5" hidden="false" customHeight="true" outlineLevel="0" collapsed="false">
      <c r="A28" s="18" t="s">
        <v>66</v>
      </c>
      <c r="B28" s="18" t="s">
        <v>29</v>
      </c>
      <c r="C28" s="18" t="s">
        <v>67</v>
      </c>
      <c r="D28" s="18" t="s">
        <v>66</v>
      </c>
      <c r="E28" s="19" t="n">
        <v>20</v>
      </c>
      <c r="F28" s="13" t="n">
        <v>20</v>
      </c>
      <c r="G28" s="19" t="n">
        <f aca="false">E28-F28</f>
        <v>0</v>
      </c>
      <c r="H28" s="20" t="n">
        <f aca="false">(F28/(F28+G28))</f>
        <v>1</v>
      </c>
      <c r="I28" s="18" t="s">
        <v>5</v>
      </c>
      <c r="J28" s="18" t="s">
        <v>19</v>
      </c>
    </row>
    <row r="29" customFormat="false" ht="19.5" hidden="false" customHeight="true" outlineLevel="0" collapsed="false">
      <c r="A29" s="18" t="s">
        <v>68</v>
      </c>
      <c r="B29" s="18" t="s">
        <v>69</v>
      </c>
      <c r="C29" s="18" t="s">
        <v>70</v>
      </c>
      <c r="D29" s="18" t="s">
        <v>71</v>
      </c>
      <c r="E29" s="19" t="n">
        <v>5</v>
      </c>
      <c r="F29" s="13" t="n">
        <v>5</v>
      </c>
      <c r="G29" s="19" t="n">
        <f aca="false">E29-F29</f>
        <v>0</v>
      </c>
      <c r="H29" s="20" t="n">
        <f aca="false">(F29/(F29+G29))</f>
        <v>1</v>
      </c>
      <c r="I29" s="18" t="s">
        <v>3</v>
      </c>
      <c r="J29" s="18" t="s">
        <v>19</v>
      </c>
    </row>
    <row r="30" customFormat="false" ht="19.5" hidden="false" customHeight="true" outlineLevel="0" collapsed="false">
      <c r="B30" s="18" t="s">
        <v>72</v>
      </c>
      <c r="C30" s="18" t="s">
        <v>73</v>
      </c>
      <c r="D30" s="18" t="s">
        <v>71</v>
      </c>
      <c r="E30" s="19" t="n">
        <v>5</v>
      </c>
      <c r="F30" s="13" t="n">
        <v>5</v>
      </c>
      <c r="G30" s="19" t="n">
        <f aca="false">E30-F30</f>
        <v>0</v>
      </c>
      <c r="H30" s="20" t="n">
        <f aca="false">(F30/(F30+G30))</f>
        <v>1</v>
      </c>
      <c r="I30" s="18" t="s">
        <v>3</v>
      </c>
      <c r="J30" s="18" t="s">
        <v>19</v>
      </c>
    </row>
    <row r="31" customFormat="false" ht="19.5" hidden="false" customHeight="true" outlineLevel="0" collapsed="false">
      <c r="A31" s="18" t="s">
        <v>74</v>
      </c>
      <c r="B31" s="18" t="s">
        <v>75</v>
      </c>
      <c r="C31" s="18" t="s">
        <v>76</v>
      </c>
      <c r="D31" s="18" t="s">
        <v>38</v>
      </c>
      <c r="E31" s="19" t="n">
        <v>10</v>
      </c>
      <c r="F31" s="13" t="n">
        <v>10</v>
      </c>
      <c r="G31" s="19" t="n">
        <f aca="false">E31-F31</f>
        <v>0</v>
      </c>
      <c r="H31" s="20" t="n">
        <f aca="false">(F31/(F31+G31))</f>
        <v>1</v>
      </c>
      <c r="I31" s="18" t="s">
        <v>4</v>
      </c>
      <c r="J31" s="18" t="s">
        <v>19</v>
      </c>
    </row>
    <row r="32" customFormat="false" ht="19.5" hidden="false" customHeight="true" outlineLevel="0" collapsed="false">
      <c r="C32" s="18" t="s">
        <v>77</v>
      </c>
      <c r="D32" s="18" t="s">
        <v>38</v>
      </c>
      <c r="E32" s="19" t="n">
        <v>10</v>
      </c>
      <c r="F32" s="13" t="n">
        <v>10</v>
      </c>
      <c r="G32" s="19" t="n">
        <f aca="false">E32-F32</f>
        <v>0</v>
      </c>
      <c r="H32" s="20" t="n">
        <f aca="false">(F32/(F32+G32))</f>
        <v>1</v>
      </c>
      <c r="I32" s="18" t="s">
        <v>4</v>
      </c>
      <c r="J32" s="18" t="s">
        <v>19</v>
      </c>
    </row>
    <row r="33" customFormat="false" ht="19.5" hidden="false" customHeight="true" outlineLevel="0" collapsed="false">
      <c r="C33" s="18" t="s">
        <v>78</v>
      </c>
      <c r="D33" s="18" t="s">
        <v>38</v>
      </c>
      <c r="E33" s="19" t="n">
        <v>10</v>
      </c>
      <c r="F33" s="13" t="n">
        <v>10</v>
      </c>
      <c r="G33" s="19" t="n">
        <f aca="false">E33-F33</f>
        <v>0</v>
      </c>
      <c r="H33" s="20" t="n">
        <f aca="false">(F33/(F33+G33))</f>
        <v>1</v>
      </c>
      <c r="I33" s="18" t="s">
        <v>4</v>
      </c>
      <c r="J33" s="18" t="s">
        <v>19</v>
      </c>
    </row>
    <row r="34" customFormat="false" ht="19.5" hidden="false" customHeight="true" outlineLevel="0" collapsed="false">
      <c r="A34" s="18" t="s">
        <v>79</v>
      </c>
      <c r="B34" s="18" t="s">
        <v>80</v>
      </c>
      <c r="C34" s="18" t="s">
        <v>52</v>
      </c>
      <c r="D34" s="18" t="s">
        <v>53</v>
      </c>
      <c r="E34" s="19" t="n">
        <v>5</v>
      </c>
      <c r="F34" s="13" t="n">
        <v>5</v>
      </c>
      <c r="G34" s="19" t="n">
        <f aca="false">E34-F34</f>
        <v>0</v>
      </c>
      <c r="H34" s="20" t="n">
        <f aca="false">(F34/(F34+G34))</f>
        <v>1</v>
      </c>
      <c r="I34" s="18" t="s">
        <v>4</v>
      </c>
      <c r="J34" s="18" t="s">
        <v>19</v>
      </c>
    </row>
    <row r="35" customFormat="false" ht="19.5" hidden="false" customHeight="true" outlineLevel="0" collapsed="false">
      <c r="A35" s="18" t="s">
        <v>58</v>
      </c>
      <c r="C35" s="18" t="s">
        <v>81</v>
      </c>
      <c r="D35" s="18" t="s">
        <v>34</v>
      </c>
      <c r="E35" s="19" t="n">
        <v>5</v>
      </c>
      <c r="F35" s="13" t="n">
        <v>5</v>
      </c>
      <c r="G35" s="19" t="n">
        <f aca="false">E35-F35</f>
        <v>0</v>
      </c>
      <c r="H35" s="20" t="n">
        <f aca="false">(F35/(F35+G35))</f>
        <v>1</v>
      </c>
      <c r="I35" s="18" t="s">
        <v>4</v>
      </c>
      <c r="J35" s="18" t="s">
        <v>19</v>
      </c>
    </row>
    <row r="36" customFormat="false" ht="19.5" hidden="false" customHeight="true" outlineLevel="0" collapsed="false">
      <c r="A36" s="18" t="s">
        <v>66</v>
      </c>
      <c r="B36" s="18" t="s">
        <v>82</v>
      </c>
      <c r="C36" s="18" t="s">
        <v>67</v>
      </c>
      <c r="D36" s="18" t="s">
        <v>66</v>
      </c>
      <c r="E36" s="19" t="n">
        <v>15</v>
      </c>
      <c r="F36" s="13" t="n">
        <v>15</v>
      </c>
      <c r="G36" s="19" t="n">
        <f aca="false">E36-F36</f>
        <v>0</v>
      </c>
      <c r="H36" s="20" t="n">
        <f aca="false">(F36/(F36+G36))</f>
        <v>1</v>
      </c>
      <c r="I36" s="18" t="s">
        <v>5</v>
      </c>
      <c r="J36" s="18" t="s">
        <v>19</v>
      </c>
    </row>
    <row r="37" customFormat="false" ht="19.5" hidden="false" customHeight="true" outlineLevel="0" collapsed="false">
      <c r="A37" s="18" t="s">
        <v>60</v>
      </c>
      <c r="C37" s="18" t="s">
        <v>83</v>
      </c>
      <c r="D37" s="18" t="s">
        <v>60</v>
      </c>
      <c r="E37" s="19" t="n">
        <v>15</v>
      </c>
      <c r="F37" s="13" t="n">
        <v>15</v>
      </c>
      <c r="G37" s="19" t="n">
        <f aca="false">E37-F37</f>
        <v>0</v>
      </c>
      <c r="H37" s="20" t="n">
        <f aca="false">(F37/(F37+G37))</f>
        <v>1</v>
      </c>
      <c r="I37" s="18" t="s">
        <v>3</v>
      </c>
      <c r="J37" s="18" t="s">
        <v>19</v>
      </c>
    </row>
    <row r="38" customFormat="false" ht="15" hidden="false" customHeight="false" outlineLevel="0" collapsed="false">
      <c r="A38" s="12" t="s">
        <v>20</v>
      </c>
      <c r="C38" s="12" t="s">
        <v>84</v>
      </c>
      <c r="D38" s="12" t="s">
        <v>22</v>
      </c>
      <c r="E38" s="2" t="n">
        <v>5</v>
      </c>
      <c r="F38" s="13" t="n">
        <v>5</v>
      </c>
      <c r="G38" s="19" t="n">
        <f aca="false">E38-F38</f>
        <v>0</v>
      </c>
      <c r="H38" s="20" t="n">
        <f aca="false">(F38/(F38+G38))</f>
        <v>1</v>
      </c>
      <c r="I38" s="12" t="s">
        <v>5</v>
      </c>
      <c r="J38" s="12" t="s">
        <v>85</v>
      </c>
    </row>
    <row r="39" customFormat="false" ht="15" hidden="false" customHeight="false" outlineLevel="0" collapsed="false">
      <c r="C39" s="12" t="s">
        <v>86</v>
      </c>
      <c r="D39" s="12" t="s">
        <v>22</v>
      </c>
      <c r="E39" s="2" t="n">
        <v>5</v>
      </c>
      <c r="F39" s="13" t="n">
        <v>5</v>
      </c>
      <c r="G39" s="19" t="n">
        <f aca="false">E39-F39</f>
        <v>0</v>
      </c>
      <c r="H39" s="20" t="n">
        <f aca="false">(F39/(F39+G39))</f>
        <v>1</v>
      </c>
      <c r="I39" s="12" t="s">
        <v>5</v>
      </c>
      <c r="J39" s="12" t="s">
        <v>85</v>
      </c>
    </row>
    <row r="40" customFormat="false" ht="15" hidden="false" customHeight="false" outlineLevel="0" collapsed="false">
      <c r="C40" s="12" t="s">
        <v>87</v>
      </c>
      <c r="D40" s="12" t="s">
        <v>22</v>
      </c>
      <c r="E40" s="2" t="n">
        <v>5</v>
      </c>
      <c r="F40" s="13" t="n">
        <v>5</v>
      </c>
      <c r="G40" s="19" t="n">
        <f aca="false">E40-F40</f>
        <v>0</v>
      </c>
      <c r="H40" s="20" t="n">
        <f aca="false">(F40/(F40+G40))</f>
        <v>1</v>
      </c>
      <c r="I40" s="12" t="s">
        <v>5</v>
      </c>
      <c r="J40" s="12" t="s">
        <v>85</v>
      </c>
    </row>
    <row r="41" customFormat="false" ht="15" hidden="false" customHeight="false" outlineLevel="0" collapsed="false">
      <c r="A41" s="12" t="s">
        <v>88</v>
      </c>
      <c r="B41" s="12" t="s">
        <v>89</v>
      </c>
      <c r="C41" s="12" t="s">
        <v>90</v>
      </c>
      <c r="D41" s="12" t="s">
        <v>88</v>
      </c>
      <c r="E41" s="2" t="n">
        <v>10</v>
      </c>
      <c r="F41" s="13" t="n">
        <v>10</v>
      </c>
      <c r="G41" s="19" t="n">
        <f aca="false">E41-F41</f>
        <v>0</v>
      </c>
      <c r="H41" s="20" t="n">
        <f aca="false">(F41/(F41+G41))</f>
        <v>1</v>
      </c>
      <c r="I41" s="12" t="s">
        <v>3</v>
      </c>
      <c r="J41" s="12" t="s">
        <v>85</v>
      </c>
    </row>
    <row r="42" customFormat="false" ht="15" hidden="false" customHeight="false" outlineLevel="0" collapsed="false">
      <c r="B42" s="12" t="s">
        <v>91</v>
      </c>
      <c r="C42" s="12" t="s">
        <v>92</v>
      </c>
      <c r="D42" s="12" t="s">
        <v>88</v>
      </c>
      <c r="E42" s="2" t="n">
        <v>10</v>
      </c>
      <c r="F42" s="13" t="n">
        <v>10</v>
      </c>
      <c r="G42" s="19" t="n">
        <f aca="false">E42-F42</f>
        <v>0</v>
      </c>
      <c r="H42" s="20" t="n">
        <f aca="false">(F42/(F42+G42))</f>
        <v>1</v>
      </c>
      <c r="I42" s="12" t="s">
        <v>4</v>
      </c>
      <c r="J42" s="12" t="s">
        <v>85</v>
      </c>
    </row>
    <row r="43" customFormat="false" ht="15" hidden="false" customHeight="false" outlineLevel="0" collapsed="false">
      <c r="B43" s="12" t="s">
        <v>93</v>
      </c>
      <c r="C43" s="12" t="s">
        <v>94</v>
      </c>
      <c r="D43" s="12" t="s">
        <v>88</v>
      </c>
      <c r="E43" s="2" t="n">
        <v>10</v>
      </c>
      <c r="F43" s="13" t="n">
        <v>10</v>
      </c>
      <c r="G43" s="19" t="n">
        <f aca="false">E43-F43</f>
        <v>0</v>
      </c>
      <c r="H43" s="20" t="n">
        <f aca="false">(F43/(F43+G43))</f>
        <v>1</v>
      </c>
      <c r="I43" s="12" t="s">
        <v>5</v>
      </c>
      <c r="J43" s="12" t="s">
        <v>85</v>
      </c>
    </row>
    <row r="44" customFormat="false" ht="15" hidden="false" customHeight="false" outlineLevel="0" collapsed="false">
      <c r="A44" s="12" t="s">
        <v>95</v>
      </c>
      <c r="B44" s="12" t="s">
        <v>96</v>
      </c>
      <c r="C44" s="12" t="s">
        <v>97</v>
      </c>
      <c r="D44" s="12" t="s">
        <v>38</v>
      </c>
      <c r="E44" s="12" t="n">
        <v>10</v>
      </c>
      <c r="F44" s="12" t="n">
        <v>10</v>
      </c>
      <c r="G44" s="19" t="n">
        <f aca="false">E44-F44</f>
        <v>0</v>
      </c>
      <c r="H44" s="20" t="n">
        <f aca="false">(F44/(F44+G44))</f>
        <v>1</v>
      </c>
      <c r="I44" s="12" t="s">
        <v>3</v>
      </c>
      <c r="J44" s="12" t="s">
        <v>85</v>
      </c>
    </row>
    <row r="45" customFormat="false" ht="15" hidden="false" customHeight="false" outlineLevel="0" collapsed="false">
      <c r="C45" s="12" t="s">
        <v>98</v>
      </c>
      <c r="D45" s="12" t="s">
        <v>38</v>
      </c>
      <c r="E45" s="12" t="n">
        <v>10</v>
      </c>
      <c r="F45" s="12" t="n">
        <v>10</v>
      </c>
      <c r="G45" s="19" t="n">
        <f aca="false">E45-F45</f>
        <v>0</v>
      </c>
      <c r="H45" s="20" t="n">
        <f aca="false">(F45/(F45+G45))</f>
        <v>1</v>
      </c>
      <c r="I45" s="12" t="s">
        <v>3</v>
      </c>
      <c r="J45" s="12" t="s">
        <v>85</v>
      </c>
    </row>
    <row r="46" customFormat="false" ht="15" hidden="false" customHeight="false" outlineLevel="0" collapsed="false">
      <c r="C46" s="12" t="s">
        <v>99</v>
      </c>
      <c r="D46" s="12" t="s">
        <v>38</v>
      </c>
      <c r="E46" s="2" t="n">
        <v>10</v>
      </c>
      <c r="F46" s="13" t="n">
        <v>10</v>
      </c>
      <c r="G46" s="19" t="n">
        <f aca="false">E46-F46</f>
        <v>0</v>
      </c>
      <c r="H46" s="20" t="n">
        <f aca="false">(F46/(F46+G46))</f>
        <v>1</v>
      </c>
      <c r="I46" s="12" t="s">
        <v>3</v>
      </c>
      <c r="J46" s="12" t="s">
        <v>85</v>
      </c>
    </row>
    <row r="47" customFormat="false" ht="15" hidden="false" customHeight="false" outlineLevel="0" collapsed="false">
      <c r="C47" s="12" t="s">
        <v>100</v>
      </c>
      <c r="D47" s="12" t="s">
        <v>38</v>
      </c>
      <c r="E47" s="2" t="n">
        <v>10</v>
      </c>
      <c r="F47" s="13" t="n">
        <v>10</v>
      </c>
      <c r="G47" s="19" t="n">
        <f aca="false">E47-F47</f>
        <v>0</v>
      </c>
      <c r="H47" s="20" t="n">
        <f aca="false">(F47/(F47+G47))</f>
        <v>1</v>
      </c>
      <c r="I47" s="12" t="s">
        <v>3</v>
      </c>
      <c r="J47" s="12" t="s">
        <v>85</v>
      </c>
    </row>
    <row r="48" customFormat="false" ht="15" hidden="false" customHeight="false" outlineLevel="0" collapsed="false">
      <c r="C48" s="12" t="s">
        <v>101</v>
      </c>
      <c r="D48" s="12" t="s">
        <v>38</v>
      </c>
      <c r="E48" s="2" t="n">
        <v>10</v>
      </c>
      <c r="F48" s="13" t="n">
        <v>10</v>
      </c>
      <c r="G48" s="19" t="n">
        <f aca="false">E48-F48</f>
        <v>0</v>
      </c>
      <c r="H48" s="20" t="n">
        <f aca="false">(F48/(F48+G48))</f>
        <v>1</v>
      </c>
      <c r="I48" s="12" t="s">
        <v>3</v>
      </c>
      <c r="J48" s="12" t="s">
        <v>85</v>
      </c>
    </row>
    <row r="49" customFormat="false" ht="15" hidden="false" customHeight="false" outlineLevel="0" collapsed="false">
      <c r="C49" s="12" t="s">
        <v>102</v>
      </c>
      <c r="D49" s="12" t="s">
        <v>38</v>
      </c>
      <c r="E49" s="2" t="n">
        <v>10</v>
      </c>
      <c r="F49" s="13" t="n">
        <v>10</v>
      </c>
      <c r="G49" s="19" t="n">
        <f aca="false">E49-F49</f>
        <v>0</v>
      </c>
      <c r="H49" s="20" t="n">
        <f aca="false">(F49/(F49+G49))</f>
        <v>1</v>
      </c>
      <c r="I49" s="12" t="s">
        <v>3</v>
      </c>
      <c r="J49" s="12" t="s">
        <v>85</v>
      </c>
    </row>
    <row r="50" customFormat="false" ht="15" hidden="false" customHeight="false" outlineLevel="0" collapsed="false">
      <c r="C50" s="12" t="s">
        <v>103</v>
      </c>
      <c r="D50" s="12" t="s">
        <v>38</v>
      </c>
      <c r="E50" s="2" t="n">
        <v>10</v>
      </c>
      <c r="F50" s="13" t="n">
        <v>10</v>
      </c>
      <c r="G50" s="19" t="n">
        <f aca="false">E50-F50</f>
        <v>0</v>
      </c>
      <c r="H50" s="20" t="n">
        <f aca="false">(F50/(F50+G50))</f>
        <v>1</v>
      </c>
      <c r="I50" s="12" t="s">
        <v>3</v>
      </c>
      <c r="J50" s="12" t="s">
        <v>85</v>
      </c>
    </row>
    <row r="51" customFormat="false" ht="15" hidden="false" customHeight="false" outlineLevel="0" collapsed="false">
      <c r="C51" s="12" t="s">
        <v>104</v>
      </c>
      <c r="D51" s="12" t="s">
        <v>38</v>
      </c>
      <c r="E51" s="2" t="n">
        <v>10</v>
      </c>
      <c r="F51" s="13" t="n">
        <v>10</v>
      </c>
      <c r="G51" s="19" t="n">
        <f aca="false">E51-F51</f>
        <v>0</v>
      </c>
      <c r="H51" s="20" t="n">
        <f aca="false">(F51/(F51+G51))</f>
        <v>1</v>
      </c>
      <c r="I51" s="12" t="s">
        <v>3</v>
      </c>
      <c r="J51" s="12" t="s">
        <v>85</v>
      </c>
    </row>
    <row r="52" customFormat="false" ht="15" hidden="false" customHeight="false" outlineLevel="0" collapsed="false">
      <c r="C52" s="12" t="s">
        <v>105</v>
      </c>
      <c r="D52" s="12" t="s">
        <v>38</v>
      </c>
      <c r="E52" s="2" t="n">
        <v>10</v>
      </c>
      <c r="F52" s="13" t="n">
        <v>10</v>
      </c>
      <c r="G52" s="19" t="n">
        <f aca="false">E52-F52</f>
        <v>0</v>
      </c>
      <c r="H52" s="20" t="n">
        <f aca="false">(F52/(F52+G52))</f>
        <v>1</v>
      </c>
      <c r="I52" s="12" t="s">
        <v>3</v>
      </c>
      <c r="J52" s="12" t="s">
        <v>85</v>
      </c>
    </row>
    <row r="53" customFormat="false" ht="15" hidden="false" customHeight="false" outlineLevel="0" collapsed="false">
      <c r="C53" s="12" t="s">
        <v>106</v>
      </c>
      <c r="D53" s="12" t="s">
        <v>38</v>
      </c>
      <c r="E53" s="2" t="n">
        <v>10</v>
      </c>
      <c r="F53" s="13" t="n">
        <v>10</v>
      </c>
      <c r="G53" s="19" t="n">
        <f aca="false">E53-F53</f>
        <v>0</v>
      </c>
      <c r="H53" s="20" t="n">
        <f aca="false">(F53/(F53+G53))</f>
        <v>1</v>
      </c>
      <c r="I53" s="12" t="s">
        <v>4</v>
      </c>
      <c r="J53" s="12" t="s">
        <v>85</v>
      </c>
    </row>
    <row r="54" customFormat="false" ht="15" hidden="false" customHeight="false" outlineLevel="0" collapsed="false">
      <c r="C54" s="12" t="s">
        <v>107</v>
      </c>
      <c r="D54" s="12" t="s">
        <v>38</v>
      </c>
      <c r="E54" s="2" t="n">
        <v>10</v>
      </c>
      <c r="F54" s="13" t="n">
        <v>10</v>
      </c>
      <c r="G54" s="19" t="n">
        <f aca="false">E54-F54</f>
        <v>0</v>
      </c>
      <c r="H54" s="20" t="n">
        <f aca="false">(F54/(F54+G54))</f>
        <v>1</v>
      </c>
      <c r="I54" s="12" t="s">
        <v>3</v>
      </c>
      <c r="J54" s="12" t="s">
        <v>85</v>
      </c>
    </row>
    <row r="55" customFormat="false" ht="15" hidden="false" customHeight="false" outlineLevel="0" collapsed="false">
      <c r="C55" s="12" t="s">
        <v>108</v>
      </c>
      <c r="D55" s="12" t="s">
        <v>38</v>
      </c>
      <c r="E55" s="2" t="n">
        <v>10</v>
      </c>
      <c r="F55" s="13" t="n">
        <v>10</v>
      </c>
      <c r="G55" s="19" t="n">
        <f aca="false">E55-F55</f>
        <v>0</v>
      </c>
      <c r="H55" s="20" t="n">
        <f aca="false">(F55/(F55+G55))</f>
        <v>1</v>
      </c>
      <c r="I55" s="12" t="s">
        <v>3</v>
      </c>
      <c r="J55" s="12" t="s">
        <v>85</v>
      </c>
    </row>
    <row r="56" customFormat="false" ht="15" hidden="false" customHeight="false" outlineLevel="0" collapsed="false">
      <c r="A56" s="12" t="s">
        <v>109</v>
      </c>
      <c r="B56" s="12" t="s">
        <v>110</v>
      </c>
      <c r="C56" s="12" t="s">
        <v>52</v>
      </c>
      <c r="D56" s="12" t="s">
        <v>53</v>
      </c>
      <c r="E56" s="2" t="n">
        <v>15</v>
      </c>
      <c r="F56" s="13" t="n">
        <v>15</v>
      </c>
      <c r="G56" s="19" t="n">
        <f aca="false">E56-F56</f>
        <v>0</v>
      </c>
      <c r="H56" s="20" t="n">
        <f aca="false">(F56/(F56+G56))</f>
        <v>1</v>
      </c>
      <c r="I56" s="12" t="s">
        <v>4</v>
      </c>
      <c r="J56" s="12" t="s">
        <v>85</v>
      </c>
    </row>
    <row r="57" customFormat="false" ht="15" hidden="false" customHeight="false" outlineLevel="0" collapsed="false">
      <c r="A57" s="12" t="s">
        <v>58</v>
      </c>
      <c r="C57" s="21" t="s">
        <v>81</v>
      </c>
      <c r="D57" s="12" t="s">
        <v>34</v>
      </c>
      <c r="E57" s="2" t="n">
        <v>5</v>
      </c>
      <c r="F57" s="13" t="n">
        <v>5</v>
      </c>
      <c r="G57" s="19" t="n">
        <f aca="false">E57-F57</f>
        <v>0</v>
      </c>
      <c r="H57" s="20" t="n">
        <f aca="false">(F57/(F57+G57))</f>
        <v>1</v>
      </c>
      <c r="I57" s="12" t="s">
        <v>4</v>
      </c>
      <c r="J57" s="12" t="s">
        <v>85</v>
      </c>
    </row>
    <row r="58" customFormat="false" ht="15" hidden="false" customHeight="false" outlineLevel="0" collapsed="false">
      <c r="A58" s="12" t="s">
        <v>111</v>
      </c>
      <c r="C58" s="21" t="s">
        <v>67</v>
      </c>
      <c r="D58" s="12" t="s">
        <v>66</v>
      </c>
      <c r="E58" s="2" t="n">
        <v>15</v>
      </c>
      <c r="F58" s="13" t="n">
        <v>15</v>
      </c>
      <c r="G58" s="19" t="n">
        <f aca="false">E58-F58</f>
        <v>0</v>
      </c>
      <c r="H58" s="20" t="n">
        <f aca="false">(F58/(F58+G58))</f>
        <v>1</v>
      </c>
      <c r="I58" s="12" t="s">
        <v>5</v>
      </c>
      <c r="J58" s="12" t="s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" activeCellId="0" sqref="C4"/>
    </sheetView>
  </sheetViews>
  <sheetFormatPr defaultColWidth="8.59765625" defaultRowHeight="15" zeroHeight="false" outlineLevelRow="0" outlineLevelCol="0"/>
  <cols>
    <col collapsed="false" customWidth="true" hidden="false" outlineLevel="0" max="1" min="1" style="13" width="25.58"/>
    <col collapsed="false" customWidth="true" hidden="false" outlineLevel="0" max="2" min="2" style="13" width="25.87"/>
    <col collapsed="false" customWidth="true" hidden="false" outlineLevel="0" max="3" min="3" style="22" width="30.88"/>
    <col collapsed="false" customWidth="true" hidden="false" outlineLevel="0" max="4" min="4" style="23" width="12.58"/>
    <col collapsed="false" customWidth="true" hidden="false" outlineLevel="0" max="5" min="5" style="24" width="22.58"/>
  </cols>
  <sheetData>
    <row r="1" customFormat="false" ht="19.5" hidden="false" customHeight="true" outlineLevel="0" collapsed="false">
      <c r="A1" s="16" t="s">
        <v>112</v>
      </c>
      <c r="B1" s="16" t="s">
        <v>113</v>
      </c>
      <c r="C1" s="25" t="s">
        <v>114</v>
      </c>
      <c r="D1" s="17" t="s">
        <v>115</v>
      </c>
      <c r="E1" s="26" t="s">
        <v>116</v>
      </c>
    </row>
    <row r="2" customFormat="false" ht="19.5" hidden="false" customHeight="true" outlineLevel="0" collapsed="false">
      <c r="A2" s="27" t="n">
        <f aca="false">SUM('liste des taches'!E2:E329)</f>
        <v>508</v>
      </c>
      <c r="B2" s="27" t="n">
        <f aca="false">SUM('liste des taches'!F2:F329)</f>
        <v>484</v>
      </c>
      <c r="C2" s="27" t="n">
        <f aca="false">SUM('liste des taches'!G2:G329)</f>
        <v>5</v>
      </c>
      <c r="D2" s="20" t="n">
        <f aca="false">(B2/(B2+C2))</f>
        <v>0.989775051124744</v>
      </c>
      <c r="E2" s="28" t="n">
        <f aca="false">((B2+C2)-A2)/A2</f>
        <v>-0.0374015748031496</v>
      </c>
    </row>
    <row r="3" customFormat="false" ht="19.5" hidden="false" customHeight="true" outlineLevel="0" collapsed="false">
      <c r="C3" s="29" t="n">
        <f aca="false">C2/60</f>
        <v>0.0833333333333333</v>
      </c>
      <c r="D3" s="30" t="s"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2026-02-16T15:45:08Z</dcterms:created>
  <dc:creator/>
  <dc:description/>
  <dc:language>fr-FR</dc:language>
  <cp:lastModifiedBy/>
  <dcterms:modified xsi:type="dcterms:W3CDTF">2026-02-17T08:51:23Z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