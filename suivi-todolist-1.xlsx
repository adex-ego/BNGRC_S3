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<sst xmlns="http://schemas.openxmlformats.org/spreadsheetml/2006/main" count="207" uniqueCount="91">
  <si>
    <t xml:space="preserve">Qui</t>
  </si>
  <si>
    <t xml:space="preserve">Somme de Estimation</t>
  </si>
  <si>
    <t xml:space="preserve">(vide)</t>
  </si>
  <si>
    <t xml:space="preserve">Fifa</t>
  </si>
  <si>
    <t xml:space="preserve">Harena</t>
  </si>
  <si>
    <t xml:space="preserve">Jo</t>
  </si>
  <si>
    <t xml:space="preserve">Total Résultat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</si>
  <si>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</si>
  <si>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</si>
  <si>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</si>
  <si>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</si>
  <si>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</si>
  <si>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</si>
  <si>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</si>
  <si>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</si>
  <si>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Status</t>
  </si>
  <si>
    <t xml:space="preserve">base </t>
  </si>
  <si>
    <t xml:space="preserve">creation de la base</t>
  </si>
  <si>
    <t xml:space="preserve">Base données</t>
  </si>
  <si>
    <t xml:space="preserve">OK</t>
  </si>
  <si>
    <t xml:space="preserve">table</t>
  </si>
  <si>
    <t xml:space="preserve">besoin_type</t>
  </si>
  <si>
    <t xml:space="preserve">base</t>
  </si>
  <si>
    <t xml:space="preserve">besoin_bngrc</t>
  </si>
  <si>
    <t xml:space="preserve">region_bngrc</t>
  </si>
  <si>
    <t xml:space="preserve">ville_bngrc</t>
  </si>
  <si>
    <t xml:space="preserve">besoin_ville</t>
  </si>
  <si>
    <t xml:space="preserve">dons_bngrc</t>
  </si>
  <si>
    <t xml:space="preserve">dashboard</t>
  </si>
  <si>
    <t xml:space="preserve">home.php</t>
  </si>
  <si>
    <t xml:space="preserve">affichage ville</t>
  </si>
  <si>
    <t xml:space="preserve">affichage</t>
  </si>
  <si>
    <t xml:space="preserve">route</t>
  </si>
  <si>
    <t xml:space="preserve">redirection vers home</t>
  </si>
  <si>
    <t xml:space="preserve">redirection/lien</t>
  </si>
  <si>
    <t xml:space="preserve">Model 1</t>
  </si>
  <si>
    <t xml:space="preserve">VilleModel</t>
  </si>
  <si>
    <t xml:space="preserve">Function getville</t>
  </si>
  <si>
    <t xml:space="preserve">function</t>
  </si>
  <si>
    <t xml:space="preserve">Function findbyname</t>
  </si>
  <si>
    <t xml:space="preserve">function findbyid</t>
  </si>
  <si>
    <t xml:space="preserve">Model 2</t>
  </si>
  <si>
    <t xml:space="preserve">RegionModel</t>
  </si>
  <si>
    <t xml:space="preserve">Function getregion</t>
  </si>
  <si>
    <t xml:space="preserve">Function  findbyname</t>
  </si>
  <si>
    <t xml:space="preserve">Model 3</t>
  </si>
  <si>
    <t xml:space="preserve">BesoinModel</t>
  </si>
  <si>
    <t xml:space="preserve">Function getBesoin</t>
  </si>
  <si>
    <t xml:space="preserve">function  findbytype</t>
  </si>
  <si>
    <t xml:space="preserve">function  insertBesoin</t>
  </si>
  <si>
    <t xml:space="preserve">Controller 1</t>
  </si>
  <si>
    <t xml:space="preserve">VilleController</t>
  </si>
  <si>
    <t xml:space="preserve">appel des functions dans model</t>
  </si>
  <si>
    <t xml:space="preserve">controller</t>
  </si>
  <si>
    <t xml:space="preserve">Controller 2 </t>
  </si>
  <si>
    <t xml:space="preserve">RegionController</t>
  </si>
  <si>
    <t xml:space="preserve">Controller 3 </t>
  </si>
  <si>
    <t xml:space="preserve">BesoinController</t>
  </si>
  <si>
    <t xml:space="preserve">routes</t>
  </si>
  <si>
    <t xml:space="preserve">redirection de tous a partir des controller</t>
  </si>
  <si>
    <t xml:space="preserve">integration</t>
  </si>
  <si>
    <t xml:space="preserve">liste des villes + besoins + dons</t>
  </si>
  <si>
    <t xml:space="preserve">WIP</t>
  </si>
  <si>
    <t xml:space="preserve">filtre par region</t>
  </si>
  <si>
    <t xml:space="preserve">filtre</t>
  </si>
  <si>
    <t xml:space="preserve">recherche par ville</t>
  </si>
  <si>
    <t xml:space="preserve">recherche</t>
  </si>
  <si>
    <t xml:space="preserve">design</t>
  </si>
  <si>
    <t xml:space="preserve">bootstrap integre + design soigner</t>
  </si>
  <si>
    <t xml:space="preserve">formulaire</t>
  </si>
  <si>
    <t xml:space="preserve">saisiDon.php</t>
  </si>
  <si>
    <t xml:space="preserve">saisi des dons</t>
  </si>
  <si>
    <t xml:space="preserve">form</t>
  </si>
  <si>
    <t xml:space="preserve">saisiBesoin.php</t>
  </si>
  <si>
    <t xml:space="preserve">saisi des besoins</t>
  </si>
  <si>
    <t xml:space="preserve">Model 4</t>
  </si>
  <si>
    <t xml:space="preserve">DonModel</t>
  </si>
  <si>
    <t xml:space="preserve">Function insertDon</t>
  </si>
  <si>
    <t xml:space="preserve">Function getDon</t>
  </si>
  <si>
    <t xml:space="preserve">function getbyid</t>
  </si>
  <si>
    <t xml:space="preserve">Controller 4</t>
  </si>
  <si>
    <t xml:space="preserve">DonController</t>
  </si>
  <si>
    <t xml:space="preserve">redirection a partir du controller</t>
  </si>
  <si>
    <t xml:space="preserve">saisi.php</t>
  </si>
  <si>
    <t xml:space="preserve">faire marcher les formulaire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</si>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</sst>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%"/>
    <numFmt numFmtId="167" formatCode="#,##0.00"/>
    <numFmt numFmtId="168" formatCode="#,##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6DCF8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2" width="19.58"/>
  </cols>
  <sheetData>
    <row r="1" customFormat="false" ht="19.5" hidden="false" customHeight="true" outlineLevel="0" collapsed="false"/>
    <row r="2" customFormat="false" ht="19.5" hidden="false" customHeight="true" outlineLevel="0" collapsed="false"/>
    <row r="3" customFormat="false" ht="19.5" hidden="false" customHeight="true" outlineLevel="0" collapsed="false">
      <c r="A3" s="3" t="s">
        <v>0</v>
      </c>
      <c r="B3" s="4" t="s">
        <v>1</v>
      </c>
    </row>
    <row r="4" customFormat="false" ht="20.25" hidden="false" customHeight="true" outlineLevel="0" collapsed="false">
      <c r="A4" s="5" t="s">
        <v>2</v>
      </c>
      <c r="B4" s="6"/>
    </row>
    <row r="5" customFormat="false" ht="19.5" hidden="false" customHeight="true" outlineLevel="0" collapsed="false">
      <c r="A5" s="7" t="s">
        <v>3</v>
      </c>
      <c r="B5" s="8" t="n">
        <v>70</v>
      </c>
    </row>
    <row r="6" customFormat="false" ht="19.5" hidden="false" customHeight="true" outlineLevel="0" collapsed="false">
      <c r="A6" s="7" t="s">
        <v>4</v>
      </c>
      <c r="B6" s="8" t="n">
        <v>106</v>
      </c>
    </row>
    <row r="7" customFormat="false" ht="19.5" hidden="false" customHeight="true" outlineLevel="0" collapsed="false">
      <c r="A7" s="7" t="s">
        <v>5</v>
      </c>
      <c r="B7" s="9" t="n">
        <v>137</v>
      </c>
    </row>
    <row r="8" customFormat="false" ht="20.25" hidden="false" customHeight="true" outlineLevel="0" collapsed="false">
      <c r="A8" s="10" t="s">
        <v>6</v>
      </c>
      <c r="B8" s="11" t="n">
        <v>313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J32" activeCellId="0" sqref="J32"/>
    </sheetView>
  </sheetViews>
  <sheetFormatPr defaultColWidth="8.59765625" defaultRowHeight="15" zeroHeight="false" outlineLevelRow="0" outlineLevelCol="0"/>
  <cols>
    <col collapsed="false" customWidth="true" hidden="false" outlineLevel="0" max="1" min="1" style="12" width="11.01"/>
    <col collapsed="false" customWidth="true" hidden="false" outlineLevel="0" max="2" min="2" style="12" width="18.01"/>
    <col collapsed="false" customWidth="true" hidden="false" outlineLevel="0" max="3" min="3" style="12" width="36.06"/>
    <col collapsed="false" customWidth="true" hidden="false" outlineLevel="0" max="4" min="4" style="12" width="15.15"/>
    <col collapsed="false" customWidth="true" hidden="false" outlineLevel="0" max="5" min="5" style="2" width="14.15"/>
    <col collapsed="false" customWidth="true" hidden="false" outlineLevel="0" max="6" min="6" style="13" width="13.76"/>
    <col collapsed="false" customWidth="true" hidden="false" outlineLevel="0" max="7" min="7" style="2" width="12.01"/>
    <col collapsed="false" customWidth="true" hidden="false" outlineLevel="0" max="8" min="8" style="14" width="12.01"/>
    <col collapsed="false" customWidth="true" hidden="false" outlineLevel="0" max="9" min="9" style="12" width="7.87"/>
    <col collapsed="false" customWidth="true" hidden="false" outlineLevel="0" max="10" min="10" style="12" width="14.15"/>
  </cols>
  <sheetData>
    <row r="1" customFormat="false" ht="19.5" hidden="false" customHeight="true" outlineLevel="0" collapsed="false">
      <c r="A1" s="15" t="s">
        <v>7</v>
      </c>
      <c r="B1" s="15" t="s">
        <v>8</v>
      </c>
      <c r="C1" s="15" t="s">
        <v>9</v>
      </c>
      <c r="D1" s="15" t="s">
        <v>10</v>
      </c>
      <c r="E1" s="16" t="s">
        <v>11</v>
      </c>
      <c r="F1" s="16" t="s">
        <v>12</v>
      </c>
      <c r="G1" s="16" t="s">
        <v>13</v>
      </c>
      <c r="H1" s="17" t="s">
        <v>14</v>
      </c>
      <c r="I1" s="15" t="s">
        <v>0</v>
      </c>
      <c r="J1" s="15" t="s">
        <v>15</v>
      </c>
    </row>
    <row r="2" customFormat="false" ht="19.5" hidden="false" customHeight="true" outlineLevel="0" collapsed="false">
      <c r="A2" s="18" t="s">
        <v>16</v>
      </c>
      <c r="C2" s="18" t="s">
        <v>17</v>
      </c>
      <c r="D2" s="18" t="s">
        <v>18</v>
      </c>
      <c r="E2" s="19" t="n">
        <v>15</v>
      </c>
      <c r="F2" s="19" t="n">
        <v>5</v>
      </c>
      <c r="G2" s="19" t="n">
        <v>0</v>
      </c>
      <c r="H2" s="20" t="n">
        <f aca="false">(F2/(F2+G2))</f>
        <v>1</v>
      </c>
      <c r="I2" s="18" t="s">
        <v>5</v>
      </c>
      <c r="J2" s="18" t="s">
        <v>19</v>
      </c>
    </row>
    <row r="3" customFormat="false" ht="19.5" hidden="false" customHeight="true" outlineLevel="0" collapsed="false">
      <c r="A3" s="18" t="s">
        <v>20</v>
      </c>
      <c r="C3" s="18" t="s">
        <v>21</v>
      </c>
      <c r="D3" s="18" t="s">
        <v>22</v>
      </c>
      <c r="E3" s="19" t="n">
        <v>2</v>
      </c>
      <c r="F3" s="19" t="n">
        <v>2</v>
      </c>
      <c r="G3" s="19" t="n">
        <f aca="false">E3-F3</f>
        <v>0</v>
      </c>
      <c r="H3" s="20" t="n">
        <f aca="false">(F3/(F3+G3))</f>
        <v>1</v>
      </c>
      <c r="I3" s="18" t="s">
        <v>5</v>
      </c>
      <c r="J3" s="18" t="s">
        <v>19</v>
      </c>
    </row>
    <row r="4" customFormat="false" ht="19.5" hidden="false" customHeight="true" outlineLevel="0" collapsed="false">
      <c r="A4" s="18" t="s">
        <v>20</v>
      </c>
      <c r="C4" s="18" t="s">
        <v>23</v>
      </c>
      <c r="D4" s="18" t="s">
        <v>22</v>
      </c>
      <c r="E4" s="19" t="n">
        <v>2</v>
      </c>
      <c r="F4" s="19" t="n">
        <v>2</v>
      </c>
      <c r="G4" s="19" t="n">
        <f aca="false">E4-F4</f>
        <v>0</v>
      </c>
      <c r="H4" s="20" t="n">
        <f aca="false">(F4/(F4+G4))</f>
        <v>1</v>
      </c>
      <c r="I4" s="18" t="s">
        <v>5</v>
      </c>
      <c r="J4" s="18" t="s">
        <v>19</v>
      </c>
    </row>
    <row r="5" customFormat="false" ht="19.5" hidden="false" customHeight="true" outlineLevel="0" collapsed="false">
      <c r="A5" s="18" t="s">
        <v>20</v>
      </c>
      <c r="C5" s="18" t="s">
        <v>24</v>
      </c>
      <c r="D5" s="18" t="s">
        <v>22</v>
      </c>
      <c r="E5" s="19" t="n">
        <v>2</v>
      </c>
      <c r="F5" s="19" t="n">
        <v>2</v>
      </c>
      <c r="G5" s="19" t="n">
        <f aca="false">E5-F5</f>
        <v>0</v>
      </c>
      <c r="H5" s="20" t="n">
        <f aca="false">(F5/(F5+G5))</f>
        <v>1</v>
      </c>
      <c r="I5" s="18" t="s">
        <v>5</v>
      </c>
      <c r="J5" s="18" t="s">
        <v>19</v>
      </c>
    </row>
    <row r="6" customFormat="false" ht="19.5" hidden="false" customHeight="true" outlineLevel="0" collapsed="false">
      <c r="A6" s="18" t="s">
        <v>20</v>
      </c>
      <c r="C6" s="18" t="s">
        <v>25</v>
      </c>
      <c r="D6" s="18" t="s">
        <v>22</v>
      </c>
      <c r="E6" s="19" t="n">
        <v>2</v>
      </c>
      <c r="F6" s="19" t="n">
        <v>2</v>
      </c>
      <c r="G6" s="19" t="n">
        <f aca="false">E6-F6</f>
        <v>0</v>
      </c>
      <c r="H6" s="20" t="n">
        <f aca="false">(F6/(F6+G6))</f>
        <v>1</v>
      </c>
      <c r="I6" s="18" t="s">
        <v>5</v>
      </c>
      <c r="J6" s="18" t="s">
        <v>19</v>
      </c>
    </row>
    <row r="7" customFormat="false" ht="19.5" hidden="false" customHeight="true" outlineLevel="0" collapsed="false">
      <c r="A7" s="18" t="s">
        <v>20</v>
      </c>
      <c r="C7" s="18" t="s">
        <v>26</v>
      </c>
      <c r="D7" s="18" t="s">
        <v>22</v>
      </c>
      <c r="E7" s="19" t="n">
        <v>2</v>
      </c>
      <c r="F7" s="19" t="n">
        <v>2</v>
      </c>
      <c r="G7" s="19" t="n">
        <f aca="false">E7-F7</f>
        <v>0</v>
      </c>
      <c r="H7" s="20" t="n">
        <f aca="false">(F7/(F7+G7))</f>
        <v>1</v>
      </c>
      <c r="I7" s="18" t="s">
        <v>5</v>
      </c>
      <c r="J7" s="18" t="s">
        <v>19</v>
      </c>
    </row>
    <row r="8" customFormat="false" ht="19.5" hidden="false" customHeight="true" outlineLevel="0" collapsed="false">
      <c r="A8" s="18" t="s">
        <v>20</v>
      </c>
      <c r="C8" s="18" t="s">
        <v>27</v>
      </c>
      <c r="D8" s="18" t="s">
        <v>22</v>
      </c>
      <c r="E8" s="19" t="n">
        <v>2</v>
      </c>
      <c r="F8" s="19" t="n">
        <v>2</v>
      </c>
      <c r="G8" s="19" t="n">
        <f aca="false">E8-F8</f>
        <v>0</v>
      </c>
      <c r="H8" s="20" t="n">
        <f aca="false">(F8/(F8+G8))</f>
        <v>1</v>
      </c>
      <c r="I8" s="18" t="s">
        <v>5</v>
      </c>
      <c r="J8" s="18" t="s">
        <v>19</v>
      </c>
    </row>
    <row r="9" customFormat="false" ht="19.5" hidden="false" customHeight="true" outlineLevel="0" collapsed="false">
      <c r="A9" s="18" t="s">
        <v>28</v>
      </c>
      <c r="B9" s="18" t="s">
        <v>29</v>
      </c>
      <c r="C9" s="18" t="s">
        <v>30</v>
      </c>
      <c r="D9" s="18" t="s">
        <v>31</v>
      </c>
      <c r="E9" s="19" t="n">
        <v>20</v>
      </c>
      <c r="F9" s="13" t="n">
        <v>10</v>
      </c>
      <c r="G9" s="19" t="n">
        <v>0</v>
      </c>
      <c r="H9" s="20" t="n">
        <f aca="false">(F9/(F9+G9))</f>
        <v>1</v>
      </c>
      <c r="I9" s="18" t="s">
        <v>4</v>
      </c>
      <c r="J9" s="18" t="s">
        <v>19</v>
      </c>
    </row>
    <row r="10" customFormat="false" ht="19.5" hidden="false" customHeight="true" outlineLevel="0" collapsed="false">
      <c r="A10" s="18" t="s">
        <v>32</v>
      </c>
      <c r="C10" s="18" t="s">
        <v>33</v>
      </c>
      <c r="D10" s="18" t="s">
        <v>34</v>
      </c>
      <c r="E10" s="19" t="n">
        <v>1</v>
      </c>
      <c r="F10" s="13" t="n">
        <v>1</v>
      </c>
      <c r="G10" s="19" t="n">
        <f aca="false">E10-F10</f>
        <v>0</v>
      </c>
      <c r="H10" s="20" t="n">
        <f aca="false">(F10/(F10+G10))</f>
        <v>1</v>
      </c>
      <c r="I10" s="18" t="s">
        <v>4</v>
      </c>
      <c r="J10" s="18" t="s">
        <v>19</v>
      </c>
    </row>
    <row r="11" customFormat="false" ht="19.5" hidden="false" customHeight="true" outlineLevel="0" collapsed="false">
      <c r="A11" s="18" t="s">
        <v>35</v>
      </c>
      <c r="B11" s="18" t="s">
        <v>36</v>
      </c>
      <c r="C11" s="18" t="s">
        <v>37</v>
      </c>
      <c r="D11" s="18" t="s">
        <v>38</v>
      </c>
      <c r="E11" s="19" t="n">
        <v>10</v>
      </c>
      <c r="F11" s="13" t="n">
        <v>5</v>
      </c>
      <c r="G11" s="19" t="n">
        <v>0</v>
      </c>
      <c r="H11" s="20" t="n">
        <f aca="false">(F11/(F11+G11))</f>
        <v>1</v>
      </c>
      <c r="I11" s="18" t="s">
        <v>3</v>
      </c>
      <c r="J11" s="18" t="s">
        <v>19</v>
      </c>
    </row>
    <row r="12" customFormat="false" ht="19.5" hidden="false" customHeight="true" outlineLevel="0" collapsed="false">
      <c r="C12" s="18" t="s">
        <v>39</v>
      </c>
      <c r="D12" s="18" t="s">
        <v>38</v>
      </c>
      <c r="E12" s="19" t="n">
        <v>10</v>
      </c>
      <c r="F12" s="13" t="n">
        <v>10</v>
      </c>
      <c r="G12" s="19" t="n">
        <f aca="false">E12-F12</f>
        <v>0</v>
      </c>
      <c r="H12" s="20" t="n">
        <f aca="false">(F12/(F12+G12))</f>
        <v>1</v>
      </c>
      <c r="I12" s="18" t="s">
        <v>3</v>
      </c>
      <c r="J12" s="18" t="s">
        <v>19</v>
      </c>
    </row>
    <row r="13" customFormat="false" ht="19.5" hidden="false" customHeight="true" outlineLevel="0" collapsed="false">
      <c r="C13" s="18" t="s">
        <v>40</v>
      </c>
      <c r="D13" s="18" t="s">
        <v>38</v>
      </c>
      <c r="E13" s="19" t="n">
        <v>10</v>
      </c>
      <c r="F13" s="13" t="n">
        <v>10</v>
      </c>
      <c r="G13" s="19" t="n">
        <f aca="false">E13-F13</f>
        <v>0</v>
      </c>
      <c r="H13" s="20" t="n">
        <f aca="false">(F13/(F13+G13))</f>
        <v>1</v>
      </c>
      <c r="I13" s="18" t="s">
        <v>3</v>
      </c>
      <c r="J13" s="18" t="s">
        <v>19</v>
      </c>
    </row>
    <row r="14" customFormat="false" ht="19.5" hidden="false" customHeight="true" outlineLevel="0" collapsed="false">
      <c r="A14" s="18" t="s">
        <v>41</v>
      </c>
      <c r="B14" s="18" t="s">
        <v>42</v>
      </c>
      <c r="C14" s="18" t="s">
        <v>43</v>
      </c>
      <c r="D14" s="18" t="s">
        <v>38</v>
      </c>
      <c r="E14" s="19" t="n">
        <v>10</v>
      </c>
      <c r="F14" s="13" t="n">
        <v>5</v>
      </c>
      <c r="G14" s="19" t="n">
        <v>0</v>
      </c>
      <c r="H14" s="20" t="n">
        <f aca="false">(F14/(F14+G14))</f>
        <v>1</v>
      </c>
      <c r="I14" s="18" t="s">
        <v>3</v>
      </c>
      <c r="J14" s="18" t="s">
        <v>19</v>
      </c>
    </row>
    <row r="15" customFormat="false" ht="19.5" hidden="false" customHeight="true" outlineLevel="0" collapsed="false">
      <c r="C15" s="18" t="s">
        <v>44</v>
      </c>
      <c r="D15" s="18" t="s">
        <v>38</v>
      </c>
      <c r="E15" s="19" t="n">
        <v>10</v>
      </c>
      <c r="F15" s="13" t="n">
        <v>10</v>
      </c>
      <c r="G15" s="19" t="n">
        <f aca="false">E15-F15</f>
        <v>0</v>
      </c>
      <c r="H15" s="20" t="n">
        <f aca="false">(F15/(F15+G15))</f>
        <v>1</v>
      </c>
      <c r="I15" s="18" t="s">
        <v>3</v>
      </c>
      <c r="J15" s="18" t="s">
        <v>19</v>
      </c>
    </row>
    <row r="16" customFormat="false" ht="19.5" hidden="false" customHeight="true" outlineLevel="0" collapsed="false">
      <c r="C16" s="18" t="s">
        <v>40</v>
      </c>
      <c r="D16" s="18" t="s">
        <v>38</v>
      </c>
      <c r="E16" s="19" t="n">
        <v>5</v>
      </c>
      <c r="F16" s="13" t="n">
        <v>5</v>
      </c>
      <c r="G16" s="19" t="n">
        <v>5</v>
      </c>
      <c r="H16" s="20" t="n">
        <f aca="false">(F16/(F16+G16))</f>
        <v>0.5</v>
      </c>
      <c r="I16" s="18" t="s">
        <v>3</v>
      </c>
      <c r="J16" s="18" t="s">
        <v>19</v>
      </c>
    </row>
    <row r="17" customFormat="false" ht="19.5" hidden="false" customHeight="true" outlineLevel="0" collapsed="false">
      <c r="A17" s="18" t="s">
        <v>45</v>
      </c>
      <c r="B17" s="18" t="s">
        <v>46</v>
      </c>
      <c r="C17" s="18" t="s">
        <v>47</v>
      </c>
      <c r="D17" s="18" t="s">
        <v>38</v>
      </c>
      <c r="E17" s="19" t="n">
        <v>10</v>
      </c>
      <c r="F17" s="13" t="n">
        <v>10</v>
      </c>
      <c r="G17" s="19" t="n">
        <f aca="false">E17-F17</f>
        <v>0</v>
      </c>
      <c r="H17" s="20" t="n">
        <f aca="false">(F17/(F17+G17))</f>
        <v>1</v>
      </c>
      <c r="I17" s="18" t="s">
        <v>4</v>
      </c>
      <c r="J17" s="18" t="s">
        <v>19</v>
      </c>
    </row>
    <row r="18" customFormat="false" ht="19.5" hidden="false" customHeight="true" outlineLevel="0" collapsed="false">
      <c r="C18" s="18" t="s">
        <v>40</v>
      </c>
      <c r="D18" s="18" t="s">
        <v>38</v>
      </c>
      <c r="E18" s="19" t="n">
        <v>10</v>
      </c>
      <c r="F18" s="13" t="n">
        <v>10</v>
      </c>
      <c r="G18" s="19" t="n">
        <f aca="false">E18-F18</f>
        <v>0</v>
      </c>
      <c r="H18" s="20" t="n">
        <f aca="false">(F18/(F18+G18))</f>
        <v>1</v>
      </c>
      <c r="I18" s="18" t="s">
        <v>4</v>
      </c>
      <c r="J18" s="18" t="s">
        <v>19</v>
      </c>
    </row>
    <row r="19" customFormat="false" ht="19.5" hidden="false" customHeight="true" outlineLevel="0" collapsed="false">
      <c r="C19" s="18" t="s">
        <v>48</v>
      </c>
      <c r="D19" s="18" t="s">
        <v>38</v>
      </c>
      <c r="E19" s="19" t="n">
        <v>10</v>
      </c>
      <c r="F19" s="13" t="n">
        <v>10</v>
      </c>
      <c r="G19" s="19" t="n">
        <f aca="false">E19-F19</f>
        <v>0</v>
      </c>
      <c r="H19" s="20" t="n">
        <f aca="false">(F19/(F19+G19))</f>
        <v>1</v>
      </c>
      <c r="I19" s="18" t="s">
        <v>4</v>
      </c>
      <c r="J19" s="18" t="s">
        <v>19</v>
      </c>
    </row>
    <row r="20" customFormat="false" ht="19.5" hidden="false" customHeight="true" outlineLevel="0" collapsed="false">
      <c r="C20" s="18" t="s">
        <v>49</v>
      </c>
      <c r="D20" s="18" t="s">
        <v>38</v>
      </c>
      <c r="E20" s="19" t="n">
        <v>10</v>
      </c>
      <c r="F20" s="13" t="n">
        <v>10</v>
      </c>
      <c r="G20" s="19" t="n">
        <f aca="false">E20-F20</f>
        <v>0</v>
      </c>
      <c r="H20" s="20" t="n">
        <f aca="false">(F20/(F20+G20))</f>
        <v>1</v>
      </c>
      <c r="I20" s="18" t="s">
        <v>4</v>
      </c>
      <c r="J20" s="18" t="s">
        <v>19</v>
      </c>
    </row>
    <row r="21" customFormat="false" ht="19.5" hidden="false" customHeight="true" outlineLevel="0" collapsed="false">
      <c r="A21" s="18" t="s">
        <v>50</v>
      </c>
      <c r="B21" s="18" t="s">
        <v>51</v>
      </c>
      <c r="C21" s="18" t="s">
        <v>52</v>
      </c>
      <c r="D21" s="18" t="s">
        <v>53</v>
      </c>
      <c r="E21" s="19" t="n">
        <v>5</v>
      </c>
      <c r="F21" s="13" t="n">
        <v>10</v>
      </c>
      <c r="G21" s="19" t="n">
        <v>0</v>
      </c>
      <c r="H21" s="20" t="n">
        <f aca="false">(F21/(F21+G21))</f>
        <v>1</v>
      </c>
      <c r="I21" s="18" t="s">
        <v>3</v>
      </c>
      <c r="J21" s="18" t="s">
        <v>19</v>
      </c>
    </row>
    <row r="22" customFormat="false" ht="19.5" hidden="false" customHeight="true" outlineLevel="0" collapsed="false">
      <c r="A22" s="18" t="s">
        <v>54</v>
      </c>
      <c r="B22" s="18" t="s">
        <v>55</v>
      </c>
      <c r="C22" s="18" t="s">
        <v>52</v>
      </c>
      <c r="D22" s="18" t="s">
        <v>53</v>
      </c>
      <c r="E22" s="19" t="n">
        <v>5</v>
      </c>
      <c r="F22" s="13" t="n">
        <v>6</v>
      </c>
      <c r="G22" s="19" t="n">
        <v>0</v>
      </c>
      <c r="H22" s="20" t="n">
        <f aca="false">(F22/(F22+G22))</f>
        <v>1</v>
      </c>
      <c r="I22" s="18" t="s">
        <v>3</v>
      </c>
      <c r="J22" s="18" t="s">
        <v>19</v>
      </c>
    </row>
    <row r="23" customFormat="false" ht="19.5" hidden="false" customHeight="true" outlineLevel="0" collapsed="false">
      <c r="A23" s="18" t="s">
        <v>56</v>
      </c>
      <c r="B23" s="18" t="s">
        <v>57</v>
      </c>
      <c r="C23" s="18" t="s">
        <v>52</v>
      </c>
      <c r="D23" s="18" t="s">
        <v>53</v>
      </c>
      <c r="E23" s="19" t="n">
        <v>5</v>
      </c>
      <c r="F23" s="13" t="n">
        <v>5</v>
      </c>
      <c r="G23" s="19" t="n">
        <f aca="false">E23-F23</f>
        <v>0</v>
      </c>
      <c r="H23" s="20" t="n">
        <f aca="false">(F23/(F23+G23))</f>
        <v>1</v>
      </c>
      <c r="I23" s="18" t="s">
        <v>4</v>
      </c>
      <c r="J23" s="18" t="s">
        <v>19</v>
      </c>
    </row>
    <row r="24" customFormat="false" ht="19.5" hidden="false" customHeight="true" outlineLevel="0" collapsed="false">
      <c r="A24" s="18" t="s">
        <v>58</v>
      </c>
      <c r="C24" s="18" t="s">
        <v>59</v>
      </c>
      <c r="D24" s="18" t="s">
        <v>34</v>
      </c>
      <c r="E24" s="19" t="n">
        <v>5</v>
      </c>
      <c r="F24" s="13" t="n">
        <v>5</v>
      </c>
      <c r="G24" s="19" t="n">
        <f aca="false">E24-F24</f>
        <v>0</v>
      </c>
      <c r="H24" s="20" t="n">
        <f aca="false">(F24/(F24+G24))</f>
        <v>1</v>
      </c>
      <c r="I24" s="18" t="s">
        <v>4</v>
      </c>
      <c r="J24" s="18" t="s">
        <v>19</v>
      </c>
    </row>
    <row r="25" customFormat="false" ht="19.5" hidden="false" customHeight="true" outlineLevel="0" collapsed="false">
      <c r="A25" s="18" t="s">
        <v>60</v>
      </c>
      <c r="B25" s="18" t="s">
        <v>29</v>
      </c>
      <c r="C25" s="18" t="s">
        <v>61</v>
      </c>
      <c r="D25" s="18" t="s">
        <v>31</v>
      </c>
      <c r="E25" s="19" t="n">
        <v>10</v>
      </c>
      <c r="G25" s="19" t="n">
        <f aca="false">E25-F25</f>
        <v>10</v>
      </c>
      <c r="H25" s="20" t="n">
        <f aca="false">(F25/(F25+G25))</f>
        <v>0</v>
      </c>
      <c r="I25" s="18" t="s">
        <v>5</v>
      </c>
      <c r="J25" s="18" t="s">
        <v>62</v>
      </c>
    </row>
    <row r="26" customFormat="false" ht="19.5" hidden="false" customHeight="true" outlineLevel="0" collapsed="false">
      <c r="B26" s="18" t="s">
        <v>29</v>
      </c>
      <c r="C26" s="18" t="s">
        <v>63</v>
      </c>
      <c r="D26" s="18" t="s">
        <v>64</v>
      </c>
      <c r="E26" s="19" t="n">
        <v>15</v>
      </c>
      <c r="G26" s="19" t="n">
        <f aca="false">E26-F26</f>
        <v>15</v>
      </c>
      <c r="H26" s="20" t="n">
        <f aca="false">(F26/(F26+G26))</f>
        <v>0</v>
      </c>
      <c r="I26" s="18" t="s">
        <v>5</v>
      </c>
      <c r="J26" s="18" t="s">
        <v>62</v>
      </c>
    </row>
    <row r="27" customFormat="false" ht="19.5" hidden="false" customHeight="true" outlineLevel="0" collapsed="false">
      <c r="B27" s="18" t="s">
        <v>29</v>
      </c>
      <c r="C27" s="18" t="s">
        <v>65</v>
      </c>
      <c r="D27" s="18" t="s">
        <v>66</v>
      </c>
      <c r="E27" s="19" t="n">
        <v>20</v>
      </c>
      <c r="G27" s="19" t="n">
        <f aca="false">E27-F27</f>
        <v>20</v>
      </c>
      <c r="H27" s="20" t="n">
        <f aca="false">(F27/(F27+G27))</f>
        <v>0</v>
      </c>
      <c r="I27" s="18" t="s">
        <v>5</v>
      </c>
      <c r="J27" s="18" t="s">
        <v>62</v>
      </c>
    </row>
    <row r="28" customFormat="false" ht="19.5" hidden="false" customHeight="true" outlineLevel="0" collapsed="false">
      <c r="A28" s="18" t="s">
        <v>67</v>
      </c>
      <c r="B28" s="18" t="s">
        <v>29</v>
      </c>
      <c r="C28" s="18" t="s">
        <v>68</v>
      </c>
      <c r="D28" s="18" t="s">
        <v>67</v>
      </c>
      <c r="E28" s="19" t="n">
        <v>20</v>
      </c>
      <c r="G28" s="19" t="n">
        <f aca="false">E28-F28</f>
        <v>20</v>
      </c>
      <c r="H28" s="20" t="n">
        <f aca="false">(F28/(F28+G28))</f>
        <v>0</v>
      </c>
      <c r="I28" s="18" t="s">
        <v>5</v>
      </c>
      <c r="J28" s="18" t="s">
        <v>62</v>
      </c>
    </row>
    <row r="29" customFormat="false" ht="19.5" hidden="false" customHeight="true" outlineLevel="0" collapsed="false">
      <c r="A29" s="18" t="s">
        <v>69</v>
      </c>
      <c r="B29" s="18" t="s">
        <v>70</v>
      </c>
      <c r="C29" s="18" t="s">
        <v>71</v>
      </c>
      <c r="D29" s="18" t="s">
        <v>72</v>
      </c>
      <c r="E29" s="19" t="n">
        <v>5</v>
      </c>
      <c r="G29" s="19" t="n">
        <f aca="false">E29-F29</f>
        <v>5</v>
      </c>
      <c r="H29" s="20" t="n">
        <f aca="false">(F29/(F29+G29))</f>
        <v>0</v>
      </c>
      <c r="I29" s="18" t="s">
        <v>3</v>
      </c>
      <c r="J29" s="18" t="s">
        <v>62</v>
      </c>
    </row>
    <row r="30" customFormat="false" ht="19.5" hidden="false" customHeight="true" outlineLevel="0" collapsed="false">
      <c r="B30" s="18" t="s">
        <v>73</v>
      </c>
      <c r="C30" s="18" t="s">
        <v>74</v>
      </c>
      <c r="D30" s="18" t="s">
        <v>72</v>
      </c>
      <c r="E30" s="19" t="n">
        <v>5</v>
      </c>
      <c r="G30" s="19" t="n">
        <f aca="false">E30-F30</f>
        <v>5</v>
      </c>
      <c r="H30" s="20" t="n">
        <f aca="false">(F30/(F30+G30))</f>
        <v>0</v>
      </c>
      <c r="I30" s="18" t="s">
        <v>3</v>
      </c>
      <c r="J30" s="18" t="s">
        <v>62</v>
      </c>
    </row>
    <row r="31" customFormat="false" ht="19.5" hidden="false" customHeight="true" outlineLevel="0" collapsed="false">
      <c r="A31" s="18" t="s">
        <v>75</v>
      </c>
      <c r="B31" s="18" t="s">
        <v>76</v>
      </c>
      <c r="C31" s="18" t="s">
        <v>77</v>
      </c>
      <c r="D31" s="18" t="s">
        <v>38</v>
      </c>
      <c r="E31" s="19" t="n">
        <v>10</v>
      </c>
      <c r="F31" s="13" t="n">
        <v>10</v>
      </c>
      <c r="G31" s="19" t="n">
        <f aca="false">E31-F31</f>
        <v>0</v>
      </c>
      <c r="H31" s="20" t="n">
        <f aca="false">(F31/(F31+G31))</f>
        <v>1</v>
      </c>
      <c r="I31" s="18" t="s">
        <v>4</v>
      </c>
      <c r="J31" s="18" t="s">
        <v>19</v>
      </c>
    </row>
    <row r="32" customFormat="false" ht="19.5" hidden="false" customHeight="true" outlineLevel="0" collapsed="false">
      <c r="C32" s="18" t="s">
        <v>78</v>
      </c>
      <c r="D32" s="18" t="s">
        <v>38</v>
      </c>
      <c r="E32" s="19" t="n">
        <v>10</v>
      </c>
      <c r="F32" s="13" t="n">
        <v>10</v>
      </c>
      <c r="G32" s="19" t="n">
        <f aca="false">E32-F32</f>
        <v>0</v>
      </c>
      <c r="H32" s="20" t="n">
        <f aca="false">(F32/(F32+G32))</f>
        <v>1</v>
      </c>
      <c r="I32" s="18" t="s">
        <v>4</v>
      </c>
      <c r="J32" s="18" t="s">
        <v>19</v>
      </c>
    </row>
    <row r="33" customFormat="false" ht="19.5" hidden="false" customHeight="true" outlineLevel="0" collapsed="false">
      <c r="C33" s="18" t="s">
        <v>79</v>
      </c>
      <c r="D33" s="18" t="s">
        <v>38</v>
      </c>
      <c r="E33" s="19" t="n">
        <v>10</v>
      </c>
      <c r="F33" s="13" t="n">
        <v>10</v>
      </c>
      <c r="G33" s="19" t="n">
        <f aca="false">E33-F33</f>
        <v>0</v>
      </c>
      <c r="H33" s="20" t="n">
        <f aca="false">(F33/(F33+G33))</f>
        <v>1</v>
      </c>
      <c r="I33" s="18" t="s">
        <v>4</v>
      </c>
      <c r="J33" s="18" t="s">
        <v>19</v>
      </c>
    </row>
    <row r="34" customFormat="false" ht="19.5" hidden="false" customHeight="true" outlineLevel="0" collapsed="false">
      <c r="A34" s="18" t="s">
        <v>80</v>
      </c>
      <c r="B34" s="18" t="s">
        <v>81</v>
      </c>
      <c r="C34" s="18" t="s">
        <v>52</v>
      </c>
      <c r="D34" s="18" t="s">
        <v>53</v>
      </c>
      <c r="E34" s="19" t="n">
        <v>5</v>
      </c>
      <c r="F34" s="13" t="n">
        <v>5</v>
      </c>
      <c r="G34" s="19" t="n">
        <f aca="false">E34-F34</f>
        <v>0</v>
      </c>
      <c r="H34" s="20" t="n">
        <f aca="false">(F34/(F34+G34))</f>
        <v>1</v>
      </c>
      <c r="I34" s="18" t="s">
        <v>4</v>
      </c>
      <c r="J34" s="18" t="s">
        <v>19</v>
      </c>
    </row>
    <row r="35" customFormat="false" ht="19.5" hidden="false" customHeight="true" outlineLevel="0" collapsed="false">
      <c r="A35" s="18" t="s">
        <v>58</v>
      </c>
      <c r="C35" s="18" t="s">
        <v>82</v>
      </c>
      <c r="D35" s="18" t="s">
        <v>34</v>
      </c>
      <c r="E35" s="19" t="n">
        <v>5</v>
      </c>
      <c r="F35" s="13" t="n">
        <v>5</v>
      </c>
      <c r="G35" s="19" t="n">
        <f aca="false">E35-F35</f>
        <v>0</v>
      </c>
      <c r="H35" s="20" t="n">
        <f aca="false">(F35/(F35+G35))</f>
        <v>1</v>
      </c>
      <c r="I35" s="18" t="s">
        <v>4</v>
      </c>
      <c r="J35" s="18" t="s">
        <v>19</v>
      </c>
    </row>
    <row r="36" customFormat="false" ht="19.5" hidden="false" customHeight="true" outlineLevel="0" collapsed="false">
      <c r="A36" s="18" t="s">
        <v>67</v>
      </c>
      <c r="B36" s="18" t="s">
        <v>83</v>
      </c>
      <c r="C36" s="18" t="s">
        <v>68</v>
      </c>
      <c r="D36" s="18" t="s">
        <v>67</v>
      </c>
      <c r="E36" s="19" t="n">
        <v>15</v>
      </c>
      <c r="G36" s="19" t="n">
        <f aca="false">E36-F36</f>
        <v>15</v>
      </c>
      <c r="H36" s="20" t="n">
        <f aca="false">(F36/(F36+G36))</f>
        <v>0</v>
      </c>
      <c r="I36" s="18" t="s">
        <v>5</v>
      </c>
      <c r="J36" s="18" t="s">
        <v>62</v>
      </c>
    </row>
    <row r="37" customFormat="false" ht="19.5" hidden="false" customHeight="true" outlineLevel="0" collapsed="false">
      <c r="A37" s="18" t="s">
        <v>60</v>
      </c>
      <c r="C37" s="18" t="s">
        <v>84</v>
      </c>
      <c r="D37" s="18" t="s">
        <v>60</v>
      </c>
      <c r="E37" s="19" t="n">
        <v>15</v>
      </c>
      <c r="G37" s="19" t="n">
        <f aca="false">E37-F37</f>
        <v>15</v>
      </c>
      <c r="H37" s="20" t="n">
        <f aca="false">(F37/(F37+G37))</f>
        <v>0</v>
      </c>
      <c r="I37" s="18" t="s">
        <v>3</v>
      </c>
      <c r="J37" s="18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1" min="1" style="13" width="25.58"/>
    <col collapsed="false" customWidth="true" hidden="false" outlineLevel="0" max="2" min="2" style="13" width="25.87"/>
    <col collapsed="false" customWidth="true" hidden="false" outlineLevel="0" max="3" min="3" style="21" width="30.88"/>
    <col collapsed="false" customWidth="true" hidden="false" outlineLevel="0" max="4" min="4" style="22" width="12.58"/>
    <col collapsed="false" customWidth="true" hidden="false" outlineLevel="0" max="5" min="5" style="23" width="22.58"/>
  </cols>
  <sheetData>
    <row r="1" customFormat="false" ht="19.5" hidden="false" customHeight="true" outlineLevel="0" collapsed="false">
      <c r="A1" s="16" t="s">
        <v>85</v>
      </c>
      <c r="B1" s="16" t="s">
        <v>86</v>
      </c>
      <c r="C1" s="24" t="s">
        <v>87</v>
      </c>
      <c r="D1" s="17" t="s">
        <v>88</v>
      </c>
      <c r="E1" s="25" t="s">
        <v>89</v>
      </c>
    </row>
    <row r="2" customFormat="false" ht="19.5" hidden="false" customHeight="true" outlineLevel="0" collapsed="false">
      <c r="A2" s="26" t="n">
        <f aca="false">SUM('liste des taches'!E2:E329)</f>
        <v>308</v>
      </c>
      <c r="B2" s="26" t="n">
        <f aca="false">SUM('liste des taches'!F2:F329)</f>
        <v>179</v>
      </c>
      <c r="C2" s="26" t="n">
        <f aca="false">SUM('liste des taches'!G2:G329)</f>
        <v>110</v>
      </c>
      <c r="D2" s="20" t="n">
        <f aca="false">(B2/(B2+C2))</f>
        <v>0.619377162629758</v>
      </c>
      <c r="E2" s="27" t="n">
        <f aca="false">((B2+C2)-A2)/A2</f>
        <v>-0.0616883116883117</v>
      </c>
    </row>
    <row r="3" customFormat="false" ht="19.5" hidden="false" customHeight="true" outlineLevel="0" collapsed="false">
      <c r="C3" s="28" t="n">
        <f aca="false">C2/60</f>
        <v>1.83333333333333</v>
      </c>
      <c r="D3" s="29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2026-02-16T15:45:08Z</dcterms:created>
  <dc:creator/>
  <dc:description/>
  <dc:language>fr-FR</dc:language>
  <cp:lastModifiedBy/>
  <dcterms:modified xsi:type="dcterms:W3CDTF">2026-02-16T16:49:26Z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